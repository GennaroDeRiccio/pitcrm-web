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8_{30F2CF16-F39F-4AA2-B142-13CD707EE6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list CIM" sheetId="1" r:id="rId1"/>
  </sheets>
  <definedNames>
    <definedName name="_xlnm.Print_Area" localSheetId="0">'Checklist CIM'!$C$118:$H$125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66" i="1" l="1"/>
  <c r="G125" i="1"/>
  <c r="G124" i="1"/>
  <c r="G123" i="1"/>
  <c r="G122" i="1"/>
  <c r="G121" i="1"/>
  <c r="G120" i="1"/>
  <c r="G119" i="1"/>
  <c r="G118" i="1"/>
  <c r="F125" i="1"/>
  <c r="F124" i="1"/>
  <c r="F123" i="1"/>
  <c r="F122" i="1"/>
  <c r="F121" i="1"/>
  <c r="F120" i="1"/>
  <c r="F119" i="1"/>
  <c r="F118" i="1"/>
  <c r="E125" i="1"/>
  <c r="E124" i="1"/>
  <c r="E123" i="1"/>
  <c r="E122" i="1"/>
  <c r="E121" i="1"/>
  <c r="E120" i="1"/>
  <c r="E119" i="1"/>
  <c r="E118" i="1"/>
  <c r="W66" i="1" l="1"/>
  <c r="V66" i="1"/>
  <c r="L73" i="1" s="1"/>
  <c r="U66" i="1"/>
  <c r="K73" i="1" s="1"/>
  <c r="T66" i="1"/>
  <c r="J73" i="1" l="1"/>
  <c r="S68" i="1"/>
  <c r="M73" i="1" s="1"/>
  <c r="I73" i="1" l="1"/>
  <c r="I84" i="1" s="1"/>
  <c r="J84" i="1" s="1"/>
  <c r="J85" i="1" s="1"/>
  <c r="I64" i="1"/>
  <c r="I83" i="1" s="1"/>
  <c r="K83" i="1" s="1"/>
  <c r="L64" i="1"/>
  <c r="K64" i="1"/>
  <c r="J64" i="1"/>
  <c r="L76" i="1"/>
  <c r="L78" i="1"/>
  <c r="J29" i="1"/>
  <c r="K29" i="1"/>
  <c r="L29" i="1"/>
  <c r="I29" i="1"/>
  <c r="I78" i="1" s="1"/>
  <c r="J22" i="1"/>
  <c r="K22" i="1"/>
  <c r="L22" i="1"/>
  <c r="I22" i="1"/>
  <c r="L57" i="1"/>
  <c r="K57" i="1"/>
  <c r="J57" i="1"/>
  <c r="I57" i="1"/>
  <c r="I82" i="1" s="1"/>
  <c r="L15" i="1"/>
  <c r="K15" i="1"/>
  <c r="J15" i="1"/>
  <c r="I15" i="1"/>
  <c r="I36" i="1"/>
  <c r="N84" i="1" l="1"/>
  <c r="P84" i="1"/>
  <c r="P87" i="1" s="1"/>
  <c r="N83" i="1"/>
  <c r="K82" i="1"/>
  <c r="N82" i="1" s="1"/>
  <c r="K50" i="1"/>
  <c r="L43" i="1" l="1"/>
  <c r="K43" i="1"/>
  <c r="J43" i="1"/>
  <c r="I43" i="1"/>
  <c r="I80" i="1" s="1"/>
  <c r="K80" i="1" s="1"/>
  <c r="N80" i="1" s="1"/>
  <c r="K78" i="1" l="1"/>
  <c r="N78" i="1" s="1"/>
  <c r="L36" i="1"/>
  <c r="K36" i="1"/>
  <c r="J36" i="1"/>
  <c r="L50" i="1"/>
  <c r="J50" i="1"/>
  <c r="I50" i="1"/>
  <c r="I81" i="1" s="1"/>
  <c r="K81" i="1" l="1"/>
  <c r="N81" i="1" s="1"/>
  <c r="I76" i="1" l="1"/>
  <c r="I77" i="1"/>
  <c r="J77" i="1" s="1"/>
  <c r="I79" i="1"/>
  <c r="I85" i="1" l="1"/>
  <c r="K77" i="1"/>
  <c r="N77" i="1" s="1"/>
  <c r="K79" i="1"/>
  <c r="N79" i="1" s="1"/>
  <c r="J76" i="1"/>
  <c r="K76" i="1" l="1"/>
  <c r="N76" i="1" l="1"/>
  <c r="N85" i="1" s="1"/>
  <c r="B1" i="1"/>
  <c r="B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<sst xmlns="http://schemas.openxmlformats.org/spreadsheetml/2006/main" count="76" uniqueCount="51">
  <si>
    <t>FATTURA</t>
  </si>
  <si>
    <t>NUMERO</t>
  </si>
  <si>
    <t>DATA</t>
  </si>
  <si>
    <t>IMPIANTI</t>
  </si>
  <si>
    <t>MACCHINARI</t>
  </si>
  <si>
    <t>ATTREZZATURE</t>
  </si>
  <si>
    <t>ANNO</t>
  </si>
  <si>
    <t>DESCRIZIONE</t>
  </si>
  <si>
    <t>IMPONIBILE</t>
  </si>
  <si>
    <t>FORNITORE</t>
  </si>
  <si>
    <t xml:space="preserve">Valore beni </t>
  </si>
  <si>
    <t>PREVENTIVO</t>
  </si>
  <si>
    <t>totale 2019</t>
  </si>
  <si>
    <t>Totale 2016</t>
  </si>
  <si>
    <t>Totale 2018</t>
  </si>
  <si>
    <t>Totale 2020</t>
  </si>
  <si>
    <t>Totale 2021</t>
  </si>
  <si>
    <t xml:space="preserve"> CLIENTE</t>
  </si>
  <si>
    <t xml:space="preserve">DATA </t>
  </si>
  <si>
    <t>Totale 2017_1</t>
  </si>
  <si>
    <t>Totale 2017_2</t>
  </si>
  <si>
    <t>2017_1</t>
  </si>
  <si>
    <t>2017_2</t>
  </si>
  <si>
    <t>Dal 01/03/2017</t>
  </si>
  <si>
    <t>Fino al 28/02/2017</t>
  </si>
  <si>
    <t xml:space="preserve">TOTALE  </t>
  </si>
  <si>
    <t xml:space="preserve">DIMENSIONE </t>
  </si>
  <si>
    <t>REGIONE</t>
  </si>
  <si>
    <t>Abruzzo</t>
  </si>
  <si>
    <t>Basilicata</t>
  </si>
  <si>
    <t>Calabria</t>
  </si>
  <si>
    <t>Campania</t>
  </si>
  <si>
    <t>Molise</t>
  </si>
  <si>
    <t>Puglia</t>
  </si>
  <si>
    <t>Sardegna</t>
  </si>
  <si>
    <t>Sicilia</t>
  </si>
  <si>
    <t xml:space="preserve">Pre analisi </t>
  </si>
  <si>
    <t>Piccola</t>
  </si>
  <si>
    <t>Media</t>
  </si>
  <si>
    <t>Grande</t>
  </si>
  <si>
    <t>Agevolabile</t>
  </si>
  <si>
    <t>dal 01/03/2017</t>
  </si>
  <si>
    <t>Totale 2022</t>
  </si>
  <si>
    <t>TERRENI/ IMMOBILI</t>
  </si>
  <si>
    <t>ZES</t>
  </si>
  <si>
    <t>Investimenti ammissibili</t>
  </si>
  <si>
    <t>MAX. Aliquota ZES UNICA</t>
  </si>
  <si>
    <t>MAX. Credito d'Imposta ottenibile</t>
  </si>
  <si>
    <t>TOTALE 2026</t>
  </si>
  <si>
    <r>
      <t xml:space="preserve">     PREANALISI ZES UNICA </t>
    </r>
    <r>
      <rPr>
        <i/>
        <sz val="36"/>
        <rFont val="Aharoni"/>
      </rPr>
      <t>2026</t>
    </r>
  </si>
  <si>
    <t>SEDE 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</si>
</sst>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dd/mm/yy;@"/>
    <numFmt numFmtId="165" formatCode="_-* #,##0.00\ [$€-410]_-;\-* #,##0.00\ [$€-410]_-;_-* &quot;-&quot;??\ [$€-410]_-;_-@_-"/>
    <numFmt numFmtId="166" formatCode="_-[$€-2]\ * #,##0.00_-;\-[$€-2]\ * #,##0.00_-;_-[$€-2]\ * &quot;-&quot;??_-;_-@_-"/>
    <numFmt numFmtId="167" formatCode="0.0000%"/>
    <numFmt numFmtId="168" formatCode="_-* #,##0.0000\ [$€-410]_-;\-* #,##0.0000\ [$€-410]_-;_-* &quot;-&quot;????\ [$€-410]_-;_-@_-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i/>
      <sz val="24"/>
      <name val="Aharoni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36"/>
      <name val="Aharoni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3" borderId="0" xfId="0" applyFont="1" applyFill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3" fillId="3" borderId="0" xfId="0" applyFont="1" applyFill="1" applyAlignment="1"/>
    <xf numFmtId="0" fontId="3" fillId="3" borderId="9" xfId="0" applyFont="1" applyFill="1" applyBorder="1" applyAlignment="1"/>
    <xf numFmtId="0" fontId="0" fillId="3" borderId="0" xfId="0" applyFill="1" applyAlignment="1"/>
    <xf numFmtId="0" fontId="2" fillId="0" borderId="6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164" fontId="8" fillId="2" borderId="1" xfId="0" applyNumberFormat="1" applyFont="1" applyFill="1" applyBorder="1" applyAlignment="1">
      <alignment horizontal="center" vertical="center"/>
    </xf>
    <xf numFmtId="165" fontId="8" fillId="2" borderId="1" xfId="1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/>
    <xf numFmtId="0" fontId="0" fillId="3" borderId="0" xfId="0" applyFill="1" applyAlignment="1">
      <alignment wrapText="1"/>
    </xf>
    <xf numFmtId="0" fontId="2" fillId="3" borderId="0" xfId="0" applyFont="1" applyFill="1" applyBorder="1" applyAlignment="1"/>
    <xf numFmtId="0" fontId="0" fillId="3" borderId="0" xfId="0" applyFill="1" applyBorder="1" applyAlignment="1">
      <alignment horizontal="center" vertical="center"/>
    </xf>
    <xf numFmtId="4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/>
    <xf numFmtId="0" fontId="3" fillId="3" borderId="0" xfId="0" applyFont="1" applyFill="1"/>
    <xf numFmtId="0" fontId="2" fillId="3" borderId="0" xfId="0" applyFont="1" applyFill="1"/>
    <xf numFmtId="0" fontId="8" fillId="2" borderId="1" xfId="0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8" fillId="2" borderId="2" xfId="1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164" fontId="1" fillId="0" borderId="0" xfId="0" applyNumberFormat="1" applyFont="1" applyBorder="1" applyAlignment="1">
      <alignment horizontal="center" vertical="center"/>
    </xf>
    <xf numFmtId="0" fontId="0" fillId="3" borderId="0" xfId="0" applyFill="1" applyBorder="1" applyAlignment="1"/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6" fontId="1" fillId="0" borderId="1" xfId="0" applyNumberFormat="1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164" fontId="11" fillId="4" borderId="15" xfId="0" applyNumberFormat="1" applyFont="1" applyFill="1" applyBorder="1" applyAlignment="1">
      <alignment horizontal="center" vertical="center"/>
    </xf>
    <xf numFmtId="164" fontId="11" fillId="0" borderId="15" xfId="0" applyNumberFormat="1" applyFont="1" applyBorder="1" applyAlignment="1">
      <alignment horizontal="center" vertical="center"/>
    </xf>
    <xf numFmtId="0" fontId="12" fillId="0" borderId="0" xfId="0" applyFont="1"/>
    <xf numFmtId="0" fontId="0" fillId="3" borderId="0" xfId="0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vertical="center" wrapText="1"/>
    </xf>
    <xf numFmtId="165" fontId="8" fillId="2" borderId="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9" fontId="10" fillId="3" borderId="7" xfId="0" applyNumberFormat="1" applyFont="1" applyFill="1" applyBorder="1" applyAlignment="1">
      <alignment horizontal="center" vertical="center"/>
    </xf>
    <xf numFmtId="9" fontId="10" fillId="3" borderId="8" xfId="0" applyNumberFormat="1" applyFont="1" applyFill="1" applyBorder="1" applyAlignment="1">
      <alignment horizontal="center" vertical="center"/>
    </xf>
    <xf numFmtId="165" fontId="8" fillId="2" borderId="0" xfId="1" applyNumberFormat="1" applyFont="1" applyFill="1" applyBorder="1" applyAlignment="1">
      <alignment horizontal="center" vertical="center"/>
    </xf>
    <xf numFmtId="165" fontId="8" fillId="2" borderId="6" xfId="1" applyNumberFormat="1" applyFont="1" applyFill="1" applyBorder="1" applyAlignment="1">
      <alignment horizontal="center" vertical="center"/>
    </xf>
    <xf numFmtId="165" fontId="0" fillId="0" borderId="0" xfId="0" applyNumberFormat="1"/>
    <xf numFmtId="165" fontId="2" fillId="0" borderId="0" xfId="0" applyNumberFormat="1" applyFont="1"/>
    <xf numFmtId="44" fontId="8" fillId="2" borderId="1" xfId="2" applyFont="1" applyFill="1" applyBorder="1" applyAlignment="1">
      <alignment vertical="center"/>
    </xf>
    <xf numFmtId="44" fontId="8" fillId="2" borderId="1" xfId="2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/>
    </xf>
    <xf numFmtId="44" fontId="14" fillId="3" borderId="1" xfId="2" applyFont="1" applyFill="1" applyBorder="1" applyAlignment="1">
      <alignment horizontal="center" vertical="center"/>
    </xf>
    <xf numFmtId="165" fontId="14" fillId="3" borderId="1" xfId="1" applyNumberFormat="1" applyFont="1" applyFill="1" applyBorder="1" applyAlignment="1">
      <alignment horizontal="center" vertical="center"/>
    </xf>
    <xf numFmtId="44" fontId="0" fillId="0" borderId="0" xfId="0" applyNumberFormat="1" applyFont="1"/>
    <xf numFmtId="0" fontId="2" fillId="3" borderId="12" xfId="0" applyFont="1" applyFill="1" applyBorder="1" applyAlignment="1"/>
    <xf numFmtId="167" fontId="0" fillId="0" borderId="0" xfId="1" applyNumberFormat="1" applyFont="1"/>
    <xf numFmtId="168" fontId="0" fillId="0" borderId="0" xfId="0" applyNumberFormat="1"/>
    <xf numFmtId="10" fontId="11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4" fontId="1" fillId="0" borderId="1" xfId="0" applyNumberFormat="1" applyFont="1" applyBorder="1" applyAlignment="1" applyProtection="1">
      <alignment horizontal="center" vertical="center"/>
      <protection locked="0"/>
    </xf>
    <xf numFmtId="164" fontId="16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13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4" fontId="0" fillId="0" borderId="1" xfId="0" applyNumberForma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8" fillId="3" borderId="1" xfId="0" applyFont="1" applyFill="1" applyBorder="1" applyAlignment="1" applyProtection="1">
      <alignment horizontal="center" vertical="center"/>
      <protection locked="0"/>
    </xf>
    <xf numFmtId="165" fontId="8" fillId="2" borderId="2" xfId="0" applyNumberFormat="1" applyFont="1" applyFill="1" applyBorder="1" applyAlignment="1">
      <alignment horizontal="center" vertical="center" wrapText="1"/>
    </xf>
    <xf numFmtId="165" fontId="8" fillId="2" borderId="3" xfId="0" applyNumberFormat="1" applyFont="1" applyFill="1" applyBorder="1" applyAlignment="1">
      <alignment horizontal="center" vertical="center" wrapText="1"/>
    </xf>
    <xf numFmtId="4" fontId="5" fillId="2" borderId="2" xfId="0" applyNumberFormat="1" applyFont="1" applyFill="1" applyBorder="1" applyAlignment="1">
      <alignment horizontal="center" vertical="center" wrapText="1"/>
    </xf>
    <xf numFmtId="4" fontId="5" fillId="2" borderId="3" xfId="0" applyNumberFormat="1" applyFont="1" applyFill="1" applyBorder="1" applyAlignment="1">
      <alignment horizontal="center" vertical="center" wrapText="1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3" xfId="0" applyNumberFormat="1" applyFont="1" applyFill="1" applyBorder="1" applyAlignment="1">
      <alignment horizontal="center" vertical="center"/>
    </xf>
    <xf numFmtId="9" fontId="10" fillId="3" borderId="6" xfId="0" applyNumberFormat="1" applyFont="1" applyFill="1" applyBorder="1" applyAlignment="1">
      <alignment horizontal="center" vertical="center"/>
    </xf>
    <xf numFmtId="9" fontId="10" fillId="3" borderId="9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9" fontId="10" fillId="3" borderId="7" xfId="0" applyNumberFormat="1" applyFont="1" applyFill="1" applyBorder="1" applyAlignment="1">
      <alignment horizontal="center" vertical="center"/>
    </xf>
    <xf numFmtId="9" fontId="10" fillId="3" borderId="8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vertical="center"/>
    </xf>
    <xf numFmtId="165" fontId="1" fillId="3" borderId="3" xfId="0" applyNumberFormat="1" applyFont="1" applyFill="1" applyBorder="1" applyAlignment="1">
      <alignment vertical="center"/>
    </xf>
    <xf numFmtId="0" fontId="19" fillId="0" borderId="1" xfId="0" applyFont="1" applyBorder="1" applyAlignment="1" applyProtection="1">
      <alignment horizontal="center" vertical="center"/>
      <protection locked="0"/>
    </xf>
  </cellXfs>
  <cellStyles count="3">
    <cellStyle name="Normale" xfId="0" builtinId="0"/>
    <cellStyle name="Percentuale" xfId="1" builtinId="5"/>
    <cellStyle name="Valuta" xfId="2" builtin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151945</xdr:colOff>
      <xdr:row>86</xdr:row>
      <xdr:rowOff>288014</xdr:rowOff>
    </xdr:from>
    <xdr:to>
      <xdr:col>14</xdr:col>
      <xdr:colOff>49891</xdr:colOff>
      <xdr:row>92</xdr:row>
      <xdr:rowOff>68036</xdr:rowOff>
    </xdr:to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51945" y="7953371"/>
          <a:ext cx="16339910" cy="1548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200"/>
            <a:t>La sottoscritta Anna Togna, nata a Pozzuoli (NA) l’8 ottobre 1976 e residente in Villaricca (NA) alla Via Bologna n. 94 (80010) , in qualità di legale rappresentate della Società Turco Carg S.R.L. con sede legale in Bojano (CB) alla Via Calderari n. 27 (86021) C.F. e P.IVA 06384881212 dichiara di autorizzare, sotto la propria responsabilità, la presentazione del modulo ZES Unica da parte della Società Professional Dream Team S.R.L. per i beni indicati nella presente check-list oggetto dell’investimento realizzato o da realizzare Inoltre la mandante espressamente esonera da ogni responsabilità civile, penale e amministrativa la Società Professional Dream Team S.R.L dal controllo inerente la validità dei documenti contabili e dei crediti indicati, assumendosi l'esclusiva responsabilità in merito alla sussistenza ed alla spettanza dei crediti stessi, i quali devono ritenersi certi anche nel loro ammontare così come riportato nei documenti contabili proposti.</a:t>
          </a:r>
        </a:p>
        <a:p>
          <a:r>
            <a:rPr lang="it-IT" sz="1200"/>
            <a:t> In Fede</a:t>
          </a:r>
          <a:endParaRPr lang="it-IT" sz="1200">
            <a:effectLst/>
          </a:endParaRPr>
        </a:p>
      </xdr:txBody>
    </xdr:sp>
    <xdr:clientData/>
  </xdr:twoCellAnchor>
  <xdr:twoCellAnchor editAs="oneCell">
    <xdr:from>
      <xdr:col>10</xdr:col>
      <xdr:colOff>1156885</xdr:colOff>
      <xdr:row>1</xdr:row>
      <xdr:rowOff>465667</xdr:rowOff>
    </xdr:from>
    <xdr:to>
      <xdr:col>13</xdr:col>
      <xdr:colOff>1269997</xdr:colOff>
      <xdr:row>4</xdr:row>
      <xdr:rowOff>49581</xdr:rowOff>
    </xdr:to>
    <xdr:pic>
      <xdr:nvPicPr>
        <xdr:cNvPr id="9" name="Immagine 8" descr="Home - Professioni in Tea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5052" y="1026584"/>
          <a:ext cx="3954863" cy="9703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21167</xdr:colOff>
      <xdr:row>74</xdr:row>
      <xdr:rowOff>560917</xdr:rowOff>
    </xdr:from>
    <xdr:to>
      <xdr:col>5</xdr:col>
      <xdr:colOff>607418</xdr:colOff>
      <xdr:row>84</xdr:row>
      <xdr:rowOff>123664</xdr:rowOff>
    </xdr:to>
    <xdr:pic>
      <xdr:nvPicPr>
        <xdr:cNvPr id="8" name="Immagine 7" descr="Home - Professioni in Team">
          <a:extLst>
            <a:ext uri="{FF2B5EF4-FFF2-40B4-BE49-F238E27FC236}">
              <a16:creationId xmlns:a16="http://schemas.microsoft.com/office/drawing/2014/main" id="{C92D1B0E-6634-4469-94A1-DFF5CBEE959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417" y="5609167"/>
          <a:ext cx="3954863" cy="9703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38"/>
  <sheetViews>
    <sheetView tabSelected="1" zoomScale="62" zoomScaleNormal="62" workbookViewId="0">
      <selection activeCell="E5" sqref="E5:F5"/>
    </sheetView>
  </sheetViews>
  <sheetFormatPr defaultRowHeight="14.5" x14ac:dyDescent="0.35"/>
  <cols>
    <col min="1" max="1" width="8.984375E-2" customWidth="1"/>
    <col min="2" max="2" width="3.1796875" customWidth="1"/>
    <col min="3" max="3" width="10.453125" style="5" customWidth="1"/>
    <col min="4" max="4" width="32.6328125" style="7" customWidth="1"/>
    <col min="5" max="5" width="15.54296875" style="7" customWidth="1"/>
    <col min="6" max="7" width="16.453125" style="7" customWidth="1"/>
    <col min="8" max="8" width="18.26953125" style="8" customWidth="1"/>
    <col min="9" max="9" width="20.1796875" style="7" customWidth="1"/>
    <col min="10" max="11" width="17.26953125" style="7" customWidth="1"/>
    <col min="12" max="12" width="18.1796875" style="7" bestFit="1" customWidth="1"/>
    <col min="13" max="13" width="19.54296875" style="7" customWidth="1"/>
    <col min="14" max="14" width="29.81640625" style="9" customWidth="1"/>
    <col min="15" max="15" width="8" customWidth="1"/>
    <col min="16" max="16" width="15.26953125" customWidth="1"/>
    <col min="18" max="18" width="14.81640625" bestFit="1" customWidth="1"/>
    <col min="19" max="19" width="22.1796875" customWidth="1"/>
    <col min="20" max="20" width="22" customWidth="1"/>
    <col min="21" max="21" width="20.54296875" customWidth="1"/>
    <col min="22" max="22" width="18" customWidth="1"/>
    <col min="23" max="23" width="18.453125" customWidth="1"/>
  </cols>
  <sheetData>
    <row r="1" spans="1:15" ht="44.65" customHeight="1" x14ac:dyDescent="0.35">
      <c r="A1" s="15"/>
      <c r="B1" s="15" cm="1">
        <f t="array" aca="1" ref="B1" ca="1">B1:N92</f>
        <v>0</v>
      </c>
      <c r="C1" s="17"/>
      <c r="D1" s="14"/>
      <c r="E1" s="14"/>
      <c r="F1" s="14"/>
      <c r="G1" s="14"/>
      <c r="H1" s="18"/>
      <c r="I1" s="14"/>
      <c r="J1" s="14"/>
      <c r="K1" s="14"/>
      <c r="L1" s="14"/>
      <c r="M1" s="14"/>
      <c r="N1" s="19"/>
      <c r="O1" s="15"/>
    </row>
    <row r="2" spans="1:15" ht="44.65" customHeight="1" x14ac:dyDescent="0.35">
      <c r="A2" s="15"/>
      <c r="B2" s="15"/>
      <c r="C2" s="17"/>
      <c r="D2" s="41" t="s">
        <v>17</v>
      </c>
      <c r="E2" s="103" t="s">
        <v>18</v>
      </c>
      <c r="F2" s="104"/>
      <c r="G2" s="107" t="s">
        <v>49</v>
      </c>
      <c r="H2" s="108"/>
      <c r="I2" s="108"/>
      <c r="J2" s="108"/>
      <c r="K2" s="108"/>
      <c r="L2" s="108"/>
      <c r="M2" s="108"/>
      <c r="N2" s="109"/>
      <c r="O2" s="15"/>
    </row>
    <row r="3" spans="1:15" ht="30" customHeight="1" x14ac:dyDescent="0.35">
      <c r="A3" s="15"/>
      <c r="B3" s="15"/>
      <c r="C3" s="14"/>
      <c r="D3" s="54"/>
      <c r="E3" s="118"/>
      <c r="F3" s="119"/>
      <c r="G3" s="110"/>
      <c r="H3" s="111"/>
      <c r="I3" s="111"/>
      <c r="J3" s="111"/>
      <c r="K3" s="111"/>
      <c r="L3" s="111"/>
      <c r="M3" s="111"/>
      <c r="N3" s="112"/>
      <c r="O3" s="15"/>
    </row>
    <row r="4" spans="1:15" ht="35.15" customHeight="1" x14ac:dyDescent="0.35">
      <c r="A4" s="15"/>
      <c r="B4" s="15"/>
      <c r="C4" s="14"/>
      <c r="D4" s="41" t="s">
        <v>26</v>
      </c>
      <c r="E4" s="103" t="s">
        <v>27</v>
      </c>
      <c r="F4" s="104"/>
      <c r="G4" s="110"/>
      <c r="H4" s="111"/>
      <c r="I4" s="111"/>
      <c r="J4" s="111"/>
      <c r="K4" s="111"/>
      <c r="L4" s="111"/>
      <c r="M4" s="111"/>
      <c r="N4" s="112"/>
      <c r="O4" s="15"/>
    </row>
    <row r="5" spans="1:15" ht="30" customHeight="1" x14ac:dyDescent="0.35">
      <c r="A5" s="15"/>
      <c r="B5" s="15"/>
      <c r="C5" s="14"/>
      <c r="D5" s="53"/>
      <c r="E5" s="105"/>
      <c r="F5" s="106"/>
      <c r="G5" s="113"/>
      <c r="H5" s="114"/>
      <c r="I5" s="114"/>
      <c r="J5" s="114"/>
      <c r="K5" s="114"/>
      <c r="L5" s="114"/>
      <c r="M5" s="114"/>
      <c r="N5" s="115"/>
      <c r="O5" s="15"/>
    </row>
    <row r="6" spans="1:15" ht="15.5" x14ac:dyDescent="0.35">
      <c r="A6" s="15"/>
      <c r="B6" s="15"/>
      <c r="C6" s="123" t="s">
        <v>6</v>
      </c>
      <c r="D6" s="123" t="s">
        <v>9</v>
      </c>
      <c r="E6" s="116" t="s">
        <v>11</v>
      </c>
      <c r="F6" s="117"/>
      <c r="G6" s="116" t="s">
        <v>0</v>
      </c>
      <c r="H6" s="117"/>
      <c r="I6" s="101" t="s">
        <v>8</v>
      </c>
      <c r="J6" s="101" t="s">
        <v>3</v>
      </c>
      <c r="K6" s="101" t="s">
        <v>4</v>
      </c>
      <c r="L6" s="101" t="s">
        <v>5</v>
      </c>
      <c r="M6" s="120" t="s">
        <v>43</v>
      </c>
      <c r="N6" s="102" t="s">
        <v>7</v>
      </c>
      <c r="O6" s="15"/>
    </row>
    <row r="7" spans="1:15" ht="23.65" customHeight="1" x14ac:dyDescent="0.35">
      <c r="A7" s="15"/>
      <c r="B7" s="15"/>
      <c r="C7" s="124"/>
      <c r="D7" s="124"/>
      <c r="E7" s="10" t="s">
        <v>1</v>
      </c>
      <c r="F7" s="10" t="s">
        <v>2</v>
      </c>
      <c r="G7" s="10" t="s">
        <v>1</v>
      </c>
      <c r="H7" s="11" t="s">
        <v>2</v>
      </c>
      <c r="I7" s="101"/>
      <c r="J7" s="101"/>
      <c r="K7" s="101"/>
      <c r="L7" s="101"/>
      <c r="M7" s="121"/>
      <c r="N7" s="102"/>
      <c r="O7" s="15"/>
    </row>
    <row r="8" spans="1:15" s="2" customFormat="1" ht="15.5" hidden="1" x14ac:dyDescent="0.35">
      <c r="A8" s="16"/>
      <c r="B8" s="16"/>
      <c r="C8" s="125">
        <v>2016</v>
      </c>
      <c r="D8" s="49"/>
      <c r="E8" s="49"/>
      <c r="F8" s="50"/>
      <c r="G8" s="49"/>
      <c r="H8" s="50"/>
      <c r="I8" s="51"/>
      <c r="J8" s="51"/>
      <c r="K8" s="51"/>
      <c r="L8" s="51"/>
      <c r="M8" s="51"/>
      <c r="N8" s="52"/>
      <c r="O8" s="16"/>
    </row>
    <row r="9" spans="1:15" s="2" customFormat="1" ht="15.5" hidden="1" x14ac:dyDescent="0.35">
      <c r="A9" s="16"/>
      <c r="B9" s="16"/>
      <c r="C9" s="126"/>
      <c r="D9" s="49"/>
      <c r="E9" s="49"/>
      <c r="F9" s="50"/>
      <c r="G9" s="49"/>
      <c r="H9" s="50"/>
      <c r="I9" s="51"/>
      <c r="J9" s="51"/>
      <c r="K9" s="51"/>
      <c r="L9" s="51"/>
      <c r="M9" s="51"/>
      <c r="N9" s="52"/>
      <c r="O9" s="16"/>
    </row>
    <row r="10" spans="1:15" s="2" customFormat="1" ht="15.5" hidden="1" x14ac:dyDescent="0.35">
      <c r="A10" s="16"/>
      <c r="B10" s="16"/>
      <c r="C10" s="126"/>
      <c r="D10" s="49"/>
      <c r="E10" s="49"/>
      <c r="F10" s="50"/>
      <c r="G10" s="49"/>
      <c r="H10" s="50"/>
      <c r="I10" s="51"/>
      <c r="J10" s="51"/>
      <c r="K10" s="51"/>
      <c r="L10" s="51"/>
      <c r="M10" s="51"/>
      <c r="N10" s="52"/>
      <c r="O10" s="16"/>
    </row>
    <row r="11" spans="1:15" s="2" customFormat="1" ht="15.5" hidden="1" x14ac:dyDescent="0.35">
      <c r="A11" s="16"/>
      <c r="B11" s="16"/>
      <c r="C11" s="126"/>
      <c r="D11" s="49"/>
      <c r="E11" s="49"/>
      <c r="F11" s="50"/>
      <c r="G11" s="49"/>
      <c r="H11" s="50"/>
      <c r="I11" s="51"/>
      <c r="J11" s="51"/>
      <c r="K11" s="51"/>
      <c r="L11" s="51"/>
      <c r="M11" s="51"/>
      <c r="N11" s="52"/>
      <c r="O11" s="16"/>
    </row>
    <row r="12" spans="1:15" s="2" customFormat="1" ht="15.5" hidden="1" x14ac:dyDescent="0.35">
      <c r="A12" s="16"/>
      <c r="B12" s="16"/>
      <c r="C12" s="126"/>
      <c r="D12" s="49"/>
      <c r="E12" s="49"/>
      <c r="F12" s="50"/>
      <c r="G12" s="49"/>
      <c r="H12" s="50"/>
      <c r="I12" s="51"/>
      <c r="J12" s="51"/>
      <c r="K12" s="51"/>
      <c r="L12" s="51"/>
      <c r="M12" s="51"/>
      <c r="N12" s="52"/>
      <c r="O12" s="16"/>
    </row>
    <row r="13" spans="1:15" s="2" customFormat="1" ht="15.5" hidden="1" x14ac:dyDescent="0.35">
      <c r="A13" s="16"/>
      <c r="B13" s="16"/>
      <c r="C13" s="126"/>
      <c r="D13" s="49"/>
      <c r="E13" s="49"/>
      <c r="F13" s="50"/>
      <c r="G13" s="49"/>
      <c r="H13" s="50"/>
      <c r="I13" s="51"/>
      <c r="J13" s="51"/>
      <c r="K13" s="51"/>
      <c r="L13" s="51"/>
      <c r="M13" s="51"/>
      <c r="N13" s="52"/>
      <c r="O13" s="16"/>
    </row>
    <row r="14" spans="1:15" s="2" customFormat="1" ht="15.5" hidden="1" x14ac:dyDescent="0.35">
      <c r="A14" s="16"/>
      <c r="B14" s="16"/>
      <c r="C14" s="126"/>
      <c r="D14" s="49"/>
      <c r="E14" s="49"/>
      <c r="F14" s="50"/>
      <c r="G14" s="49"/>
      <c r="H14" s="50"/>
      <c r="I14" s="51"/>
      <c r="J14" s="51"/>
      <c r="K14" s="51"/>
      <c r="L14" s="51"/>
      <c r="M14" s="51"/>
      <c r="N14" s="52"/>
      <c r="O14" s="16"/>
    </row>
    <row r="15" spans="1:15" s="3" customFormat="1" ht="30.4" hidden="1" customHeight="1" x14ac:dyDescent="0.35">
      <c r="A15" s="39"/>
      <c r="B15" s="46"/>
      <c r="C15" s="128"/>
      <c r="D15" s="128"/>
      <c r="E15" s="128"/>
      <c r="F15" s="128"/>
      <c r="G15" s="128"/>
      <c r="H15" s="45" t="s">
        <v>13</v>
      </c>
      <c r="I15" s="26">
        <f>SUM(I8:I14)</f>
        <v>0</v>
      </c>
      <c r="J15" s="26">
        <f>SUM(J8:J14)</f>
        <v>0</v>
      </c>
      <c r="K15" s="26">
        <f>SUM(K8:K14)</f>
        <v>0</v>
      </c>
      <c r="L15" s="44">
        <f>SUM(L8:L14)</f>
        <v>0</v>
      </c>
      <c r="M15" s="80"/>
      <c r="N15" s="24"/>
      <c r="O15" s="35"/>
    </row>
    <row r="16" spans="1:15" s="2" customFormat="1" ht="15.5" hidden="1" x14ac:dyDescent="0.35">
      <c r="A16" s="16"/>
      <c r="B16" s="122" t="s">
        <v>24</v>
      </c>
      <c r="C16" s="125">
        <v>2017</v>
      </c>
      <c r="D16" s="49"/>
      <c r="E16" s="49"/>
      <c r="F16" s="50"/>
      <c r="G16" s="49"/>
      <c r="H16" s="50"/>
      <c r="I16" s="51"/>
      <c r="J16" s="51"/>
      <c r="K16" s="51"/>
      <c r="L16" s="51"/>
      <c r="M16" s="51"/>
      <c r="N16" s="52"/>
      <c r="O16" s="16"/>
    </row>
    <row r="17" spans="1:15" s="2" customFormat="1" ht="15.5" hidden="1" x14ac:dyDescent="0.35">
      <c r="A17" s="16"/>
      <c r="B17" s="122"/>
      <c r="C17" s="126"/>
      <c r="D17" s="49"/>
      <c r="E17" s="49"/>
      <c r="F17" s="50"/>
      <c r="G17" s="49"/>
      <c r="H17" s="50"/>
      <c r="I17" s="51"/>
      <c r="J17" s="51"/>
      <c r="K17" s="51"/>
      <c r="L17" s="51"/>
      <c r="M17" s="51"/>
      <c r="N17" s="52"/>
      <c r="O17" s="16"/>
    </row>
    <row r="18" spans="1:15" s="2" customFormat="1" ht="15.5" hidden="1" x14ac:dyDescent="0.35">
      <c r="A18" s="16"/>
      <c r="B18" s="122"/>
      <c r="C18" s="126"/>
      <c r="D18" s="49"/>
      <c r="E18" s="49"/>
      <c r="F18" s="50"/>
      <c r="G18" s="49"/>
      <c r="H18" s="50"/>
      <c r="I18" s="51"/>
      <c r="J18" s="51"/>
      <c r="K18" s="51"/>
      <c r="L18" s="51"/>
      <c r="M18" s="51"/>
      <c r="N18" s="52"/>
      <c r="O18" s="16"/>
    </row>
    <row r="19" spans="1:15" s="2" customFormat="1" ht="15.5" hidden="1" x14ac:dyDescent="0.35">
      <c r="A19" s="16"/>
      <c r="B19" s="122"/>
      <c r="C19" s="126"/>
      <c r="D19" s="49"/>
      <c r="E19" s="49"/>
      <c r="F19" s="50"/>
      <c r="G19" s="49"/>
      <c r="H19" s="50"/>
      <c r="I19" s="51"/>
      <c r="J19" s="51"/>
      <c r="K19" s="51"/>
      <c r="L19" s="51"/>
      <c r="M19" s="51"/>
      <c r="N19" s="52"/>
      <c r="O19" s="16"/>
    </row>
    <row r="20" spans="1:15" s="2" customFormat="1" ht="15.5" hidden="1" x14ac:dyDescent="0.35">
      <c r="A20" s="16"/>
      <c r="B20" s="122"/>
      <c r="C20" s="126"/>
      <c r="D20" s="49"/>
      <c r="E20" s="49"/>
      <c r="F20" s="50"/>
      <c r="G20" s="49"/>
      <c r="H20" s="50"/>
      <c r="I20" s="51"/>
      <c r="J20" s="51"/>
      <c r="K20" s="51"/>
      <c r="L20" s="51"/>
      <c r="M20" s="51"/>
      <c r="N20" s="52"/>
      <c r="O20" s="16"/>
    </row>
    <row r="21" spans="1:15" s="2" customFormat="1" ht="15.5" hidden="1" x14ac:dyDescent="0.35">
      <c r="A21" s="16"/>
      <c r="B21" s="122"/>
      <c r="C21" s="127"/>
      <c r="D21" s="49"/>
      <c r="E21" s="49"/>
      <c r="F21" s="50"/>
      <c r="G21" s="49"/>
      <c r="H21" s="50"/>
      <c r="I21" s="51"/>
      <c r="J21" s="51"/>
      <c r="K21" s="51"/>
      <c r="L21" s="51"/>
      <c r="M21" s="51"/>
      <c r="N21" s="52"/>
      <c r="O21" s="16"/>
    </row>
    <row r="22" spans="1:15" s="3" customFormat="1" ht="28.9" hidden="1" customHeight="1" x14ac:dyDescent="0.35">
      <c r="A22" s="39"/>
      <c r="B22" s="20"/>
      <c r="C22" s="20"/>
      <c r="D22" s="20"/>
      <c r="E22" s="20"/>
      <c r="F22" s="6"/>
      <c r="G22" s="21"/>
      <c r="H22" s="25" t="s">
        <v>19</v>
      </c>
      <c r="I22" s="26">
        <f>SUM(I16:I21)</f>
        <v>0</v>
      </c>
      <c r="J22" s="26">
        <f t="shared" ref="J22:L22" si="0">SUM(J16:J21)</f>
        <v>0</v>
      </c>
      <c r="K22" s="26">
        <f t="shared" si="0"/>
        <v>0</v>
      </c>
      <c r="L22" s="26">
        <f t="shared" si="0"/>
        <v>0</v>
      </c>
      <c r="M22" s="81"/>
      <c r="N22" s="23"/>
      <c r="O22" s="35"/>
    </row>
    <row r="23" spans="1:15" s="2" customFormat="1" ht="15.5" hidden="1" x14ac:dyDescent="0.35">
      <c r="A23" s="16"/>
      <c r="B23" s="122" t="s">
        <v>23</v>
      </c>
      <c r="C23" s="125">
        <v>2017</v>
      </c>
      <c r="D23" s="49"/>
      <c r="E23" s="49"/>
      <c r="F23" s="50"/>
      <c r="G23" s="49"/>
      <c r="H23" s="50"/>
      <c r="I23" s="51"/>
      <c r="J23" s="51"/>
      <c r="K23" s="51"/>
      <c r="L23" s="51"/>
      <c r="M23" s="51"/>
      <c r="N23" s="52"/>
      <c r="O23" s="16"/>
    </row>
    <row r="24" spans="1:15" s="2" customFormat="1" ht="15.5" hidden="1" x14ac:dyDescent="0.35">
      <c r="A24" s="16"/>
      <c r="B24" s="122"/>
      <c r="C24" s="126"/>
      <c r="D24" s="49"/>
      <c r="E24" s="49"/>
      <c r="F24" s="50"/>
      <c r="G24" s="49"/>
      <c r="H24" s="50"/>
      <c r="I24" s="51"/>
      <c r="J24" s="51"/>
      <c r="K24" s="51"/>
      <c r="L24" s="51"/>
      <c r="M24" s="51"/>
      <c r="N24" s="52"/>
      <c r="O24" s="16"/>
    </row>
    <row r="25" spans="1:15" s="2" customFormat="1" ht="15.5" hidden="1" x14ac:dyDescent="0.35">
      <c r="A25" s="16"/>
      <c r="B25" s="122"/>
      <c r="C25" s="126"/>
      <c r="D25" s="49"/>
      <c r="E25" s="49"/>
      <c r="F25" s="50"/>
      <c r="G25" s="49"/>
      <c r="H25" s="50"/>
      <c r="I25" s="51"/>
      <c r="J25" s="51"/>
      <c r="K25" s="51"/>
      <c r="L25" s="51"/>
      <c r="M25" s="51"/>
      <c r="N25" s="52"/>
      <c r="O25" s="16"/>
    </row>
    <row r="26" spans="1:15" s="2" customFormat="1" ht="15.5" hidden="1" x14ac:dyDescent="0.35">
      <c r="A26" s="16"/>
      <c r="B26" s="122"/>
      <c r="C26" s="126"/>
      <c r="D26" s="49"/>
      <c r="E26" s="49"/>
      <c r="F26" s="50"/>
      <c r="G26" s="49"/>
      <c r="H26" s="50"/>
      <c r="I26" s="51"/>
      <c r="J26" s="51"/>
      <c r="K26" s="51"/>
      <c r="L26" s="51"/>
      <c r="M26" s="51"/>
      <c r="N26" s="52"/>
      <c r="O26" s="16"/>
    </row>
    <row r="27" spans="1:15" s="2" customFormat="1" ht="15.5" hidden="1" x14ac:dyDescent="0.35">
      <c r="A27" s="16"/>
      <c r="B27" s="122"/>
      <c r="C27" s="126"/>
      <c r="D27" s="49"/>
      <c r="E27" s="49"/>
      <c r="F27" s="50"/>
      <c r="G27" s="49"/>
      <c r="H27" s="50"/>
      <c r="I27" s="51"/>
      <c r="J27" s="51"/>
      <c r="K27" s="51"/>
      <c r="L27" s="51"/>
      <c r="M27" s="51"/>
      <c r="N27" s="52"/>
      <c r="O27" s="16"/>
    </row>
    <row r="28" spans="1:15" s="2" customFormat="1" ht="15.5" hidden="1" x14ac:dyDescent="0.35">
      <c r="A28" s="16"/>
      <c r="B28" s="122"/>
      <c r="C28" s="127"/>
      <c r="D28" s="49"/>
      <c r="E28" s="49"/>
      <c r="F28" s="50"/>
      <c r="G28" s="49"/>
      <c r="H28" s="50"/>
      <c r="I28" s="51"/>
      <c r="J28" s="51"/>
      <c r="K28" s="51"/>
      <c r="L28" s="51"/>
      <c r="M28" s="51"/>
      <c r="N28" s="52"/>
      <c r="O28" s="16"/>
    </row>
    <row r="29" spans="1:15" s="3" customFormat="1" ht="28.9" hidden="1" customHeight="1" x14ac:dyDescent="0.35">
      <c r="A29" s="39"/>
      <c r="B29" s="20"/>
      <c r="C29" s="20"/>
      <c r="D29" s="20"/>
      <c r="E29" s="20"/>
      <c r="F29" s="6"/>
      <c r="G29" s="21"/>
      <c r="H29" s="25" t="s">
        <v>20</v>
      </c>
      <c r="I29" s="26">
        <f>SUM(I23:I28)</f>
        <v>0</v>
      </c>
      <c r="J29" s="26">
        <f t="shared" ref="J29:L29" si="1">SUM(J23:J28)</f>
        <v>0</v>
      </c>
      <c r="K29" s="26">
        <f t="shared" si="1"/>
        <v>0</v>
      </c>
      <c r="L29" s="26">
        <f t="shared" si="1"/>
        <v>0</v>
      </c>
      <c r="M29" s="81"/>
      <c r="N29" s="23"/>
      <c r="O29" s="35"/>
    </row>
    <row r="30" spans="1:15" s="2" customFormat="1" ht="15.5" hidden="1" x14ac:dyDescent="0.35">
      <c r="A30" s="16"/>
      <c r="B30" s="16"/>
      <c r="C30" s="125">
        <v>2018</v>
      </c>
      <c r="D30" s="49"/>
      <c r="E30" s="49"/>
      <c r="F30" s="50"/>
      <c r="G30" s="49"/>
      <c r="H30" s="50"/>
      <c r="I30" s="51"/>
      <c r="J30" s="51"/>
      <c r="K30" s="51"/>
      <c r="L30" s="51"/>
      <c r="M30" s="51"/>
      <c r="N30" s="52"/>
      <c r="O30" s="16"/>
    </row>
    <row r="31" spans="1:15" s="2" customFormat="1" ht="15.5" hidden="1" x14ac:dyDescent="0.35">
      <c r="A31" s="16"/>
      <c r="B31" s="16"/>
      <c r="C31" s="126"/>
      <c r="D31" s="49"/>
      <c r="E31" s="49"/>
      <c r="F31" s="50"/>
      <c r="G31" s="49"/>
      <c r="H31" s="50"/>
      <c r="I31" s="51"/>
      <c r="J31" s="51"/>
      <c r="K31" s="51"/>
      <c r="L31" s="51"/>
      <c r="M31" s="51"/>
      <c r="N31" s="52"/>
      <c r="O31" s="16"/>
    </row>
    <row r="32" spans="1:15" s="2" customFormat="1" ht="15.5" hidden="1" x14ac:dyDescent="0.35">
      <c r="A32" s="16"/>
      <c r="B32" s="16"/>
      <c r="C32" s="126"/>
      <c r="D32" s="49"/>
      <c r="E32" s="49"/>
      <c r="F32" s="50"/>
      <c r="G32" s="49"/>
      <c r="H32" s="50"/>
      <c r="I32" s="51"/>
      <c r="J32" s="51"/>
      <c r="K32" s="51"/>
      <c r="L32" s="51"/>
      <c r="M32" s="51"/>
      <c r="N32" s="52"/>
      <c r="O32" s="16"/>
    </row>
    <row r="33" spans="1:15" s="2" customFormat="1" ht="15.5" hidden="1" x14ac:dyDescent="0.35">
      <c r="A33" s="16"/>
      <c r="B33" s="16"/>
      <c r="C33" s="126"/>
      <c r="D33" s="49"/>
      <c r="E33" s="49"/>
      <c r="F33" s="50"/>
      <c r="G33" s="49"/>
      <c r="H33" s="50"/>
      <c r="I33" s="51"/>
      <c r="J33" s="51"/>
      <c r="K33" s="51"/>
      <c r="L33" s="51"/>
      <c r="M33" s="51"/>
      <c r="N33" s="52"/>
      <c r="O33" s="16"/>
    </row>
    <row r="34" spans="1:15" s="2" customFormat="1" ht="15.5" hidden="1" x14ac:dyDescent="0.35">
      <c r="A34" s="16"/>
      <c r="B34" s="16"/>
      <c r="C34" s="126"/>
      <c r="D34" s="49"/>
      <c r="E34" s="49"/>
      <c r="F34" s="50"/>
      <c r="G34" s="49"/>
      <c r="H34" s="50"/>
      <c r="I34" s="51"/>
      <c r="J34" s="51"/>
      <c r="K34" s="51"/>
      <c r="L34" s="51"/>
      <c r="M34" s="51"/>
      <c r="N34" s="52"/>
      <c r="O34" s="16"/>
    </row>
    <row r="35" spans="1:15" s="2" customFormat="1" ht="15.5" hidden="1" x14ac:dyDescent="0.35">
      <c r="A35" s="16"/>
      <c r="B35" s="16"/>
      <c r="C35" s="126"/>
      <c r="D35" s="49"/>
      <c r="E35" s="49"/>
      <c r="F35" s="50"/>
      <c r="G35" s="49"/>
      <c r="H35" s="50"/>
      <c r="I35" s="51"/>
      <c r="J35" s="51"/>
      <c r="K35" s="51"/>
      <c r="L35" s="51"/>
      <c r="M35" s="51"/>
      <c r="N35" s="52"/>
      <c r="O35" s="16"/>
    </row>
    <row r="36" spans="1:15" s="3" customFormat="1" ht="30" hidden="1" customHeight="1" x14ac:dyDescent="0.35">
      <c r="A36" s="39"/>
      <c r="B36" s="20"/>
      <c r="C36" s="46"/>
      <c r="D36" s="46"/>
      <c r="E36" s="46"/>
      <c r="F36" s="47"/>
      <c r="G36" s="46"/>
      <c r="H36" s="45" t="s">
        <v>14</v>
      </c>
      <c r="I36" s="26">
        <f>SUM(I30:I35)</f>
        <v>0</v>
      </c>
      <c r="J36" s="26">
        <f>SUM(J30:J35)</f>
        <v>0</v>
      </c>
      <c r="K36" s="26">
        <f>SUM(K30:K35)</f>
        <v>0</v>
      </c>
      <c r="L36" s="26">
        <f>SUM(L30:L35)</f>
        <v>0</v>
      </c>
      <c r="M36" s="81"/>
      <c r="N36" s="23"/>
      <c r="O36" s="35"/>
    </row>
    <row r="37" spans="1:15" ht="15.5" hidden="1" x14ac:dyDescent="0.35">
      <c r="A37" s="15"/>
      <c r="B37" s="15"/>
      <c r="C37" s="125">
        <v>2019</v>
      </c>
      <c r="D37" s="49"/>
      <c r="E37" s="49"/>
      <c r="F37" s="50"/>
      <c r="G37" s="49"/>
      <c r="H37" s="50"/>
      <c r="I37" s="51"/>
      <c r="J37" s="51"/>
      <c r="K37" s="51"/>
      <c r="L37" s="51"/>
      <c r="M37" s="51"/>
      <c r="N37" s="52"/>
      <c r="O37" s="15"/>
    </row>
    <row r="38" spans="1:15" s="2" customFormat="1" ht="15.5" hidden="1" x14ac:dyDescent="0.35">
      <c r="A38" s="16"/>
      <c r="B38" s="16"/>
      <c r="C38" s="126"/>
      <c r="D38" s="49"/>
      <c r="E38" s="49"/>
      <c r="F38" s="50"/>
      <c r="G38" s="49"/>
      <c r="H38" s="50"/>
      <c r="I38" s="51"/>
      <c r="J38" s="51"/>
      <c r="K38" s="51"/>
      <c r="L38" s="51"/>
      <c r="M38" s="51"/>
      <c r="N38" s="52"/>
      <c r="O38" s="16"/>
    </row>
    <row r="39" spans="1:15" s="2" customFormat="1" ht="15.5" hidden="1" x14ac:dyDescent="0.35">
      <c r="A39" s="16"/>
      <c r="B39" s="16"/>
      <c r="C39" s="126"/>
      <c r="D39" s="49"/>
      <c r="E39" s="49"/>
      <c r="F39" s="50"/>
      <c r="G39" s="49"/>
      <c r="H39" s="50"/>
      <c r="I39" s="51"/>
      <c r="J39" s="51"/>
      <c r="K39" s="51"/>
      <c r="L39" s="51"/>
      <c r="M39" s="51"/>
      <c r="N39" s="52"/>
      <c r="O39" s="16"/>
    </row>
    <row r="40" spans="1:15" s="2" customFormat="1" ht="15.5" hidden="1" x14ac:dyDescent="0.35">
      <c r="A40" s="16"/>
      <c r="B40" s="16"/>
      <c r="C40" s="126"/>
      <c r="D40" s="49"/>
      <c r="E40" s="49"/>
      <c r="F40" s="50"/>
      <c r="G40" s="49"/>
      <c r="H40" s="50"/>
      <c r="I40" s="51"/>
      <c r="J40" s="51"/>
      <c r="K40" s="51"/>
      <c r="L40" s="51"/>
      <c r="M40" s="51"/>
      <c r="N40" s="52"/>
      <c r="O40" s="16"/>
    </row>
    <row r="41" spans="1:15" s="2" customFormat="1" ht="15.5" hidden="1" x14ac:dyDescent="0.35">
      <c r="A41" s="16"/>
      <c r="B41" s="16"/>
      <c r="C41" s="126"/>
      <c r="D41" s="49"/>
      <c r="E41" s="49"/>
      <c r="F41" s="50"/>
      <c r="G41" s="49"/>
      <c r="H41" s="50"/>
      <c r="I41" s="51"/>
      <c r="J41" s="51"/>
      <c r="K41" s="51"/>
      <c r="L41" s="51"/>
      <c r="M41" s="51"/>
      <c r="N41" s="52"/>
      <c r="O41" s="16"/>
    </row>
    <row r="42" spans="1:15" s="2" customFormat="1" ht="15.5" hidden="1" x14ac:dyDescent="0.35">
      <c r="A42" s="16"/>
      <c r="B42" s="16"/>
      <c r="C42" s="126"/>
      <c r="D42" s="49"/>
      <c r="E42" s="49"/>
      <c r="F42" s="50"/>
      <c r="G42" s="49"/>
      <c r="H42" s="50"/>
      <c r="I42" s="51"/>
      <c r="J42" s="51"/>
      <c r="K42" s="51"/>
      <c r="L42" s="51"/>
      <c r="M42" s="51"/>
      <c r="N42" s="52"/>
      <c r="O42" s="16"/>
    </row>
    <row r="43" spans="1:15" ht="28.75" hidden="1" customHeight="1" x14ac:dyDescent="0.35">
      <c r="A43" s="15"/>
      <c r="B43" s="22"/>
      <c r="C43" s="22"/>
      <c r="D43" s="48"/>
      <c r="E43" s="48"/>
      <c r="F43" s="47"/>
      <c r="G43" s="48"/>
      <c r="H43" s="45" t="s">
        <v>12</v>
      </c>
      <c r="I43" s="26">
        <f>SUM(I37:I42)</f>
        <v>0</v>
      </c>
      <c r="J43" s="26">
        <f>SUM(J37:J42)</f>
        <v>0</v>
      </c>
      <c r="K43" s="26">
        <f>SUM(K37:K42)</f>
        <v>0</v>
      </c>
      <c r="L43" s="26">
        <f>SUM(L37:L42)</f>
        <v>0</v>
      </c>
      <c r="M43" s="81"/>
      <c r="N43" s="23"/>
      <c r="O43" s="35"/>
    </row>
    <row r="44" spans="1:15" ht="15.5" hidden="1" x14ac:dyDescent="0.35">
      <c r="A44" s="15"/>
      <c r="B44" s="15"/>
      <c r="C44" s="125">
        <v>2020</v>
      </c>
      <c r="D44" s="49"/>
      <c r="E44" s="49"/>
      <c r="F44" s="50"/>
      <c r="G44" s="49"/>
      <c r="H44" s="50"/>
      <c r="I44" s="55"/>
      <c r="J44" s="55"/>
      <c r="K44" s="55"/>
      <c r="L44" s="55"/>
      <c r="M44" s="55"/>
      <c r="N44" s="52"/>
      <c r="O44" s="15"/>
    </row>
    <row r="45" spans="1:15" s="2" customFormat="1" ht="15.5" hidden="1" x14ac:dyDescent="0.35">
      <c r="A45" s="16"/>
      <c r="B45" s="16"/>
      <c r="C45" s="126"/>
      <c r="D45" s="49"/>
      <c r="E45" s="49"/>
      <c r="F45" s="50"/>
      <c r="G45" s="49"/>
      <c r="H45" s="50"/>
      <c r="I45" s="55"/>
      <c r="J45" s="55"/>
      <c r="K45" s="55"/>
      <c r="L45" s="55"/>
      <c r="M45" s="55"/>
      <c r="N45" s="52"/>
      <c r="O45" s="16"/>
    </row>
    <row r="46" spans="1:15" s="2" customFormat="1" ht="15.5" hidden="1" x14ac:dyDescent="0.35">
      <c r="A46" s="16"/>
      <c r="B46" s="16"/>
      <c r="C46" s="126"/>
      <c r="D46" s="49"/>
      <c r="E46" s="49"/>
      <c r="F46" s="50"/>
      <c r="G46" s="49"/>
      <c r="H46" s="50"/>
      <c r="I46" s="55"/>
      <c r="J46" s="55"/>
      <c r="K46" s="55"/>
      <c r="L46" s="55"/>
      <c r="M46" s="55"/>
      <c r="N46" s="52"/>
      <c r="O46" s="16"/>
    </row>
    <row r="47" spans="1:15" s="2" customFormat="1" ht="18" hidden="1" customHeight="1" x14ac:dyDescent="0.35">
      <c r="A47" s="16"/>
      <c r="B47" s="16"/>
      <c r="C47" s="126"/>
      <c r="D47" s="49"/>
      <c r="E47" s="49"/>
      <c r="F47" s="50"/>
      <c r="G47" s="49"/>
      <c r="H47" s="50"/>
      <c r="I47" s="55"/>
      <c r="J47" s="55"/>
      <c r="K47" s="55"/>
      <c r="L47" s="55"/>
      <c r="M47" s="55"/>
      <c r="N47" s="52"/>
      <c r="O47" s="16"/>
    </row>
    <row r="48" spans="1:15" s="2" customFormat="1" ht="15.5" hidden="1" x14ac:dyDescent="0.35">
      <c r="A48" s="16"/>
      <c r="B48" s="16"/>
      <c r="C48" s="126"/>
      <c r="D48" s="49"/>
      <c r="E48" s="49"/>
      <c r="F48" s="50"/>
      <c r="G48" s="49"/>
      <c r="H48" s="50"/>
      <c r="I48" s="55"/>
      <c r="J48" s="55"/>
      <c r="K48" s="55"/>
      <c r="L48" s="55"/>
      <c r="M48" s="55"/>
      <c r="N48" s="52"/>
      <c r="O48" s="16"/>
    </row>
    <row r="49" spans="1:15" s="2" customFormat="1" ht="15.5" hidden="1" x14ac:dyDescent="0.35">
      <c r="A49" s="16"/>
      <c r="B49" s="16"/>
      <c r="C49" s="126"/>
      <c r="D49" s="49"/>
      <c r="E49" s="49"/>
      <c r="F49" s="50"/>
      <c r="G49" s="49"/>
      <c r="H49" s="50"/>
      <c r="I49" s="55"/>
      <c r="J49" s="55"/>
      <c r="K49" s="55"/>
      <c r="L49" s="55"/>
      <c r="M49" s="55"/>
      <c r="N49" s="52"/>
      <c r="O49" s="16"/>
    </row>
    <row r="50" spans="1:15" s="3" customFormat="1" ht="26.65" hidden="1" customHeight="1" x14ac:dyDescent="0.35">
      <c r="A50" s="39"/>
      <c r="B50" s="20"/>
      <c r="C50" s="46"/>
      <c r="D50" s="46"/>
      <c r="E50" s="46"/>
      <c r="F50" s="47"/>
      <c r="G50" s="46"/>
      <c r="H50" s="45" t="s">
        <v>15</v>
      </c>
      <c r="I50" s="26">
        <f>SUM(I44:I49)</f>
        <v>0</v>
      </c>
      <c r="J50" s="26">
        <f>SUM(J44:J49)</f>
        <v>0</v>
      </c>
      <c r="K50" s="26">
        <f>SUM(K44:K49)</f>
        <v>0</v>
      </c>
      <c r="L50" s="26">
        <f>SUM(L44:L49)</f>
        <v>0</v>
      </c>
      <c r="M50" s="81"/>
      <c r="N50" s="23"/>
      <c r="O50" s="35"/>
    </row>
    <row r="51" spans="1:15" s="2" customFormat="1" ht="15.5" hidden="1" x14ac:dyDescent="0.35">
      <c r="A51" s="16"/>
      <c r="B51" s="16"/>
      <c r="C51" s="125">
        <v>2021</v>
      </c>
      <c r="D51" s="49"/>
      <c r="E51" s="49"/>
      <c r="F51" s="50"/>
      <c r="G51" s="49"/>
      <c r="H51" s="50"/>
      <c r="I51" s="55"/>
      <c r="J51" s="55"/>
      <c r="K51" s="55"/>
      <c r="L51" s="55"/>
      <c r="M51" s="55"/>
      <c r="N51" s="52"/>
      <c r="O51" s="16"/>
    </row>
    <row r="52" spans="1:15" s="2" customFormat="1" ht="15.5" hidden="1" x14ac:dyDescent="0.35">
      <c r="A52" s="16"/>
      <c r="B52" s="16"/>
      <c r="C52" s="126"/>
      <c r="D52" s="49"/>
      <c r="E52" s="49"/>
      <c r="F52" s="50"/>
      <c r="G52" s="49"/>
      <c r="H52" s="50"/>
      <c r="I52" s="55"/>
      <c r="J52" s="55"/>
      <c r="K52" s="55"/>
      <c r="L52" s="55"/>
      <c r="M52" s="55"/>
      <c r="N52" s="52"/>
      <c r="O52" s="16"/>
    </row>
    <row r="53" spans="1:15" s="2" customFormat="1" ht="15.5" hidden="1" x14ac:dyDescent="0.35">
      <c r="A53" s="16"/>
      <c r="B53" s="16"/>
      <c r="C53" s="126"/>
      <c r="D53" s="49"/>
      <c r="E53" s="49"/>
      <c r="F53" s="50"/>
      <c r="G53" s="49"/>
      <c r="H53" s="50"/>
      <c r="I53" s="55"/>
      <c r="J53" s="55"/>
      <c r="K53" s="55"/>
      <c r="L53" s="55"/>
      <c r="M53" s="55"/>
      <c r="N53" s="52"/>
      <c r="O53" s="16"/>
    </row>
    <row r="54" spans="1:15" s="2" customFormat="1" ht="15.5" hidden="1" x14ac:dyDescent="0.35">
      <c r="A54" s="16"/>
      <c r="B54" s="16"/>
      <c r="C54" s="126"/>
      <c r="D54" s="49"/>
      <c r="E54" s="49"/>
      <c r="F54" s="50"/>
      <c r="G54" s="49"/>
      <c r="H54" s="50"/>
      <c r="I54" s="55"/>
      <c r="J54" s="55"/>
      <c r="K54" s="55"/>
      <c r="L54" s="55"/>
      <c r="M54" s="55"/>
      <c r="N54" s="52"/>
      <c r="O54" s="16"/>
    </row>
    <row r="55" spans="1:15" s="2" customFormat="1" ht="15.5" hidden="1" x14ac:dyDescent="0.35">
      <c r="A55" s="16"/>
      <c r="B55" s="16"/>
      <c r="C55" s="126"/>
      <c r="D55" s="49"/>
      <c r="E55" s="49"/>
      <c r="F55" s="50"/>
      <c r="G55" s="49"/>
      <c r="H55" s="50"/>
      <c r="I55" s="55"/>
      <c r="J55" s="55"/>
      <c r="K55" s="55"/>
      <c r="L55" s="55"/>
      <c r="M55" s="55"/>
      <c r="N55" s="52"/>
      <c r="O55" s="16"/>
    </row>
    <row r="56" spans="1:15" s="2" customFormat="1" ht="15.5" hidden="1" x14ac:dyDescent="0.35">
      <c r="A56" s="16"/>
      <c r="B56" s="16"/>
      <c r="C56" s="126"/>
      <c r="D56" s="49"/>
      <c r="E56" s="49"/>
      <c r="F56" s="50"/>
      <c r="G56" s="49"/>
      <c r="H56" s="50"/>
      <c r="I56" s="55"/>
      <c r="J56" s="55"/>
      <c r="K56" s="55"/>
      <c r="L56" s="55"/>
      <c r="M56" s="55"/>
      <c r="N56" s="52"/>
      <c r="O56" s="16"/>
    </row>
    <row r="57" spans="1:15" s="4" customFormat="1" ht="25" hidden="1" customHeight="1" x14ac:dyDescent="0.35">
      <c r="A57" s="40"/>
      <c r="B57" s="28"/>
      <c r="C57" s="28"/>
      <c r="D57" s="28"/>
      <c r="E57" s="28"/>
      <c r="F57" s="28"/>
      <c r="G57" s="38"/>
      <c r="H57" s="25" t="s">
        <v>16</v>
      </c>
      <c r="I57" s="26">
        <f>SUM(I51:I56)</f>
        <v>0</v>
      </c>
      <c r="J57" s="26">
        <f>SUM(J51:J56)</f>
        <v>0</v>
      </c>
      <c r="K57" s="26">
        <f>SUM(K51:K56)</f>
        <v>0</v>
      </c>
      <c r="L57" s="26">
        <f>SUM(L51:L56)</f>
        <v>0</v>
      </c>
      <c r="M57" s="81"/>
      <c r="N57" s="34"/>
      <c r="O57" s="35"/>
    </row>
    <row r="58" spans="1:15" s="2" customFormat="1" ht="15.5" hidden="1" x14ac:dyDescent="0.35">
      <c r="A58" s="16"/>
      <c r="B58" s="16"/>
      <c r="C58" s="125">
        <v>2022</v>
      </c>
      <c r="D58" s="49"/>
      <c r="E58" s="49"/>
      <c r="F58" s="50"/>
      <c r="G58" s="49"/>
      <c r="H58" s="50"/>
      <c r="I58" s="55"/>
      <c r="J58" s="55"/>
      <c r="K58" s="55"/>
      <c r="L58" s="55"/>
      <c r="M58" s="55"/>
      <c r="N58" s="52"/>
      <c r="O58" s="16"/>
    </row>
    <row r="59" spans="1:15" s="2" customFormat="1" ht="15.5" hidden="1" x14ac:dyDescent="0.35">
      <c r="A59" s="16"/>
      <c r="B59" s="16"/>
      <c r="C59" s="126"/>
      <c r="D59" s="49"/>
      <c r="E59" s="49"/>
      <c r="F59" s="50"/>
      <c r="G59" s="49"/>
      <c r="H59" s="50"/>
      <c r="I59" s="55"/>
      <c r="J59" s="55"/>
      <c r="K59" s="55"/>
      <c r="L59" s="55"/>
      <c r="M59" s="55"/>
      <c r="N59" s="52"/>
      <c r="O59" s="16"/>
    </row>
    <row r="60" spans="1:15" s="2" customFormat="1" ht="15.5" hidden="1" x14ac:dyDescent="0.35">
      <c r="A60" s="16"/>
      <c r="B60" s="16"/>
      <c r="C60" s="126"/>
      <c r="D60" s="49"/>
      <c r="E60" s="49"/>
      <c r="F60" s="50"/>
      <c r="G60" s="49"/>
      <c r="H60" s="50"/>
      <c r="I60" s="55"/>
      <c r="J60" s="55"/>
      <c r="K60" s="55"/>
      <c r="L60" s="55"/>
      <c r="M60" s="55"/>
      <c r="N60" s="52"/>
      <c r="O60" s="16"/>
    </row>
    <row r="61" spans="1:15" s="2" customFormat="1" ht="15.5" hidden="1" x14ac:dyDescent="0.35">
      <c r="A61" s="16"/>
      <c r="B61" s="16"/>
      <c r="C61" s="126"/>
      <c r="D61" s="49"/>
      <c r="E61" s="49"/>
      <c r="F61" s="50"/>
      <c r="G61" s="49"/>
      <c r="H61" s="50"/>
      <c r="I61" s="55"/>
      <c r="J61" s="55"/>
      <c r="K61" s="55"/>
      <c r="L61" s="55"/>
      <c r="M61" s="55"/>
      <c r="N61" s="52"/>
      <c r="O61" s="16"/>
    </row>
    <row r="62" spans="1:15" s="2" customFormat="1" ht="15.5" hidden="1" x14ac:dyDescent="0.35">
      <c r="A62" s="16"/>
      <c r="B62" s="16"/>
      <c r="C62" s="126"/>
      <c r="D62" s="49"/>
      <c r="E62" s="49"/>
      <c r="F62" s="50"/>
      <c r="G62" s="49"/>
      <c r="H62" s="50"/>
      <c r="I62" s="55"/>
      <c r="J62" s="55"/>
      <c r="K62" s="55"/>
      <c r="L62" s="55"/>
      <c r="M62" s="55"/>
      <c r="N62" s="52"/>
      <c r="O62" s="16"/>
    </row>
    <row r="63" spans="1:15" s="2" customFormat="1" ht="15.5" hidden="1" x14ac:dyDescent="0.35">
      <c r="A63" s="16"/>
      <c r="B63" s="16"/>
      <c r="C63" s="126"/>
      <c r="D63" s="49"/>
      <c r="E63" s="49"/>
      <c r="F63" s="50"/>
      <c r="G63" s="49"/>
      <c r="H63" s="50"/>
      <c r="I63" s="55"/>
      <c r="J63" s="55"/>
      <c r="K63" s="55"/>
      <c r="L63" s="55"/>
      <c r="M63" s="55"/>
      <c r="N63" s="52"/>
      <c r="O63" s="16"/>
    </row>
    <row r="64" spans="1:15" s="4" customFormat="1" ht="25" hidden="1" customHeight="1" x14ac:dyDescent="0.35">
      <c r="A64" s="40"/>
      <c r="B64" s="28"/>
      <c r="C64" s="28"/>
      <c r="D64" s="28"/>
      <c r="E64" s="28"/>
      <c r="F64" s="28"/>
      <c r="G64" s="38"/>
      <c r="H64" s="25" t="s">
        <v>42</v>
      </c>
      <c r="I64" s="26">
        <f>SUM(I58:I63)</f>
        <v>0</v>
      </c>
      <c r="J64" s="26">
        <f>SUM(J58:J63)</f>
        <v>0</v>
      </c>
      <c r="K64" s="26">
        <f>SUM(K58:K63)</f>
        <v>0</v>
      </c>
      <c r="L64" s="26">
        <f>SUM(L58:L63)</f>
        <v>0</v>
      </c>
      <c r="M64" s="81"/>
      <c r="N64" s="34"/>
      <c r="O64" s="35"/>
    </row>
    <row r="65" spans="1:23" s="2" customFormat="1" ht="18.5" x14ac:dyDescent="0.35">
      <c r="A65" s="16"/>
      <c r="B65" s="16"/>
      <c r="C65" s="125">
        <v>2026</v>
      </c>
      <c r="D65" s="148"/>
      <c r="E65" s="49"/>
      <c r="F65" s="50"/>
      <c r="G65" s="49"/>
      <c r="H65" s="50"/>
      <c r="I65" s="55"/>
      <c r="J65" s="55"/>
      <c r="K65" s="55"/>
      <c r="L65" s="55"/>
      <c r="M65" s="55"/>
      <c r="N65" s="52"/>
      <c r="O65" s="16"/>
    </row>
    <row r="66" spans="1:23" s="2" customFormat="1" ht="18.5" x14ac:dyDescent="0.35">
      <c r="A66" s="16"/>
      <c r="B66" s="16"/>
      <c r="C66" s="126"/>
      <c r="D66" s="99"/>
      <c r="E66" s="96"/>
      <c r="F66" s="96"/>
      <c r="G66" s="49"/>
      <c r="H66" s="50"/>
      <c r="I66" s="55"/>
      <c r="J66" s="55"/>
      <c r="K66" s="55"/>
      <c r="L66" s="55"/>
      <c r="M66" s="55"/>
      <c r="N66" s="52"/>
      <c r="O66" s="16"/>
      <c r="R66" s="97" t="s">
        <v>48</v>
      </c>
      <c r="S66" s="88">
        <f>SUM(I65:I71)</f>
        <v>0</v>
      </c>
      <c r="T66" s="88">
        <f>SUM(J65:J71)</f>
        <v>0</v>
      </c>
      <c r="U66" s="89">
        <f>SUM(K65:K71)</f>
        <v>0</v>
      </c>
      <c r="V66" s="89">
        <f>SUM(L65:L71)</f>
        <v>0</v>
      </c>
      <c r="W66" s="89">
        <f>SUM(M65:M71)</f>
        <v>0</v>
      </c>
    </row>
    <row r="67" spans="1:23" s="2" customFormat="1" ht="15.5" x14ac:dyDescent="0.35">
      <c r="A67" s="16"/>
      <c r="B67" s="16"/>
      <c r="C67" s="126"/>
      <c r="D67" s="99"/>
      <c r="E67" s="49"/>
      <c r="F67" s="50"/>
      <c r="G67" s="49"/>
      <c r="H67" s="96"/>
      <c r="I67" s="55"/>
      <c r="J67" s="55"/>
      <c r="K67" s="55"/>
      <c r="L67" s="55"/>
      <c r="M67" s="55"/>
      <c r="N67" s="52"/>
      <c r="O67" s="16"/>
    </row>
    <row r="68" spans="1:23" s="2" customFormat="1" ht="15.5" x14ac:dyDescent="0.35">
      <c r="A68" s="16"/>
      <c r="B68" s="16"/>
      <c r="C68" s="126"/>
      <c r="D68" s="98"/>
      <c r="E68" s="49"/>
      <c r="F68" s="50"/>
      <c r="G68" s="49"/>
      <c r="H68" s="50"/>
      <c r="I68" s="55"/>
      <c r="J68" s="55"/>
      <c r="K68" s="55"/>
      <c r="L68" s="55"/>
      <c r="M68" s="55"/>
      <c r="N68" s="52"/>
      <c r="O68" s="16"/>
      <c r="S68" s="90">
        <f>T66+U66+V66</f>
        <v>0</v>
      </c>
    </row>
    <row r="69" spans="1:23" s="2" customFormat="1" ht="15.5" x14ac:dyDescent="0.35">
      <c r="A69" s="16"/>
      <c r="B69" s="16"/>
      <c r="C69" s="126"/>
      <c r="D69" s="98"/>
      <c r="E69" s="49"/>
      <c r="F69" s="50"/>
      <c r="G69" s="49"/>
      <c r="H69" s="50"/>
      <c r="I69" s="55"/>
      <c r="J69" s="55"/>
      <c r="K69" s="55"/>
      <c r="L69" s="55"/>
      <c r="M69" s="55"/>
      <c r="N69" s="52"/>
      <c r="O69" s="16"/>
      <c r="S69" s="90"/>
    </row>
    <row r="70" spans="1:23" s="2" customFormat="1" ht="15.5" x14ac:dyDescent="0.35">
      <c r="A70" s="16"/>
      <c r="B70" s="16"/>
      <c r="C70" s="126"/>
      <c r="D70" s="98"/>
      <c r="E70" s="49"/>
      <c r="F70" s="50"/>
      <c r="G70" s="49"/>
      <c r="H70" s="50"/>
      <c r="I70" s="55"/>
      <c r="J70" s="55"/>
      <c r="K70" s="55"/>
      <c r="L70" s="55"/>
      <c r="M70" s="55"/>
      <c r="N70" s="52"/>
      <c r="O70" s="16"/>
      <c r="S70" s="90"/>
    </row>
    <row r="71" spans="1:23" s="2" customFormat="1" ht="15.5" hidden="1" customHeight="1" x14ac:dyDescent="0.35">
      <c r="A71" s="16"/>
      <c r="B71" s="16"/>
      <c r="C71" s="127"/>
      <c r="D71" s="49"/>
      <c r="E71" s="49"/>
      <c r="F71" s="50"/>
      <c r="G71" s="49"/>
      <c r="H71" s="50"/>
      <c r="I71" s="55"/>
      <c r="J71" s="55"/>
      <c r="K71" s="55"/>
      <c r="L71" s="55"/>
      <c r="M71" s="55"/>
      <c r="N71" s="52"/>
      <c r="O71" s="16"/>
    </row>
    <row r="72" spans="1:23" s="4" customFormat="1" ht="25" hidden="1" customHeight="1" x14ac:dyDescent="0.35">
      <c r="A72" s="40"/>
      <c r="B72" s="28"/>
      <c r="C72" s="28"/>
      <c r="D72" s="28"/>
      <c r="E72" s="28"/>
      <c r="F72" s="28"/>
      <c r="G72" s="38"/>
      <c r="H72" s="87"/>
      <c r="I72" s="88"/>
      <c r="J72" s="88"/>
      <c r="K72" s="89"/>
      <c r="L72" s="89"/>
      <c r="M72" s="89"/>
      <c r="N72" s="34"/>
      <c r="O72" s="35"/>
    </row>
    <row r="73" spans="1:23" s="4" customFormat="1" ht="42" customHeight="1" x14ac:dyDescent="0.35">
      <c r="A73" s="40"/>
      <c r="B73" s="28"/>
      <c r="C73" s="91"/>
      <c r="D73" s="100" t="s">
        <v>50</v>
      </c>
      <c r="E73" s="130"/>
      <c r="F73" s="130"/>
      <c r="G73" s="130"/>
      <c r="H73" s="86" t="s">
        <v>45</v>
      </c>
      <c r="I73" s="84">
        <f>J73+K73+L73+M73</f>
        <v>0</v>
      </c>
      <c r="J73" s="84">
        <f>T66</f>
        <v>0</v>
      </c>
      <c r="K73" s="84">
        <f>U66</f>
        <v>0</v>
      </c>
      <c r="L73" s="84">
        <f>V66</f>
        <v>0</v>
      </c>
      <c r="M73" s="85">
        <f>IF(W66&lt;(S68),W66,S68)</f>
        <v>0</v>
      </c>
      <c r="N73" s="35"/>
      <c r="O73" s="35"/>
      <c r="P73" s="83"/>
    </row>
    <row r="74" spans="1:23" s="4" customFormat="1" ht="25" customHeight="1" x14ac:dyDescent="0.35">
      <c r="A74" s="40"/>
      <c r="B74" s="28"/>
      <c r="C74" s="28"/>
      <c r="D74" s="28"/>
      <c r="E74" s="28"/>
      <c r="F74" s="28"/>
      <c r="G74" s="28"/>
      <c r="H74" s="28"/>
      <c r="I74" s="28"/>
      <c r="J74" s="28"/>
      <c r="K74" s="30"/>
      <c r="L74" s="30"/>
      <c r="M74" s="30"/>
      <c r="N74" s="30"/>
      <c r="O74" s="36"/>
      <c r="P74" s="83"/>
    </row>
    <row r="75" spans="1:23" s="1" customFormat="1" ht="64.5" customHeight="1" x14ac:dyDescent="0.35">
      <c r="A75" s="29"/>
      <c r="B75" s="29"/>
      <c r="C75" s="129"/>
      <c r="D75" s="129"/>
      <c r="E75" s="129"/>
      <c r="F75" s="129"/>
      <c r="G75" s="129"/>
      <c r="H75" s="12" t="s">
        <v>36</v>
      </c>
      <c r="I75" s="27" t="s">
        <v>10</v>
      </c>
      <c r="J75" s="144" t="s">
        <v>40</v>
      </c>
      <c r="K75" s="145"/>
      <c r="L75" s="133" t="s">
        <v>46</v>
      </c>
      <c r="M75" s="134"/>
      <c r="N75" s="56" t="s">
        <v>47</v>
      </c>
      <c r="O75" s="29"/>
    </row>
    <row r="76" spans="1:23" ht="24.65" hidden="1" customHeight="1" x14ac:dyDescent="0.35">
      <c r="A76" s="15"/>
      <c r="B76" s="15"/>
      <c r="C76" s="129"/>
      <c r="D76" s="129"/>
      <c r="E76" s="129"/>
      <c r="F76" s="129"/>
      <c r="G76" s="129"/>
      <c r="H76" s="13">
        <v>2016</v>
      </c>
      <c r="I76" s="37">
        <f>I15</f>
        <v>0</v>
      </c>
      <c r="J76" s="37">
        <f>I76*0.375</f>
        <v>0</v>
      </c>
      <c r="K76" s="37">
        <f>I76-J76</f>
        <v>0</v>
      </c>
      <c r="L76" s="142" t="e">
        <f>INDEX(I107:K114,MATCH(E5,H107:H114,0), MATCH(D5,I106:K106,0))</f>
        <v>#N/A</v>
      </c>
      <c r="M76" s="78"/>
      <c r="N76" s="43" t="e">
        <f>K76*L76</f>
        <v>#N/A</v>
      </c>
      <c r="O76" s="15"/>
    </row>
    <row r="77" spans="1:23" ht="24.65" hidden="1" customHeight="1" x14ac:dyDescent="0.35">
      <c r="A77" s="15"/>
      <c r="B77" s="15"/>
      <c r="C77" s="129"/>
      <c r="D77" s="129"/>
      <c r="E77" s="129"/>
      <c r="F77" s="129"/>
      <c r="G77" s="129"/>
      <c r="H77" s="13" t="s">
        <v>21</v>
      </c>
      <c r="I77" s="37">
        <f>I22</f>
        <v>0</v>
      </c>
      <c r="J77" s="37">
        <f>I77*0.225</f>
        <v>0</v>
      </c>
      <c r="K77" s="37">
        <f>I77-J77</f>
        <v>0</v>
      </c>
      <c r="L77" s="143"/>
      <c r="M77" s="79"/>
      <c r="N77" s="43" t="e">
        <f>K77*L76</f>
        <v>#N/A</v>
      </c>
      <c r="O77" s="15"/>
    </row>
    <row r="78" spans="1:23" ht="24.65" hidden="1" customHeight="1" x14ac:dyDescent="0.35">
      <c r="A78" s="15"/>
      <c r="B78" s="15"/>
      <c r="C78" s="129"/>
      <c r="D78" s="129"/>
      <c r="E78" s="129"/>
      <c r="F78" s="129"/>
      <c r="G78" s="129"/>
      <c r="H78" s="13" t="s">
        <v>22</v>
      </c>
      <c r="I78" s="37">
        <f>I29</f>
        <v>0</v>
      </c>
      <c r="J78" s="37"/>
      <c r="K78" s="37">
        <f t="shared" ref="K78:K82" si="2">I78</f>
        <v>0</v>
      </c>
      <c r="L78" s="135" t="e">
        <f>INDEX(E107:G114,MATCH(E5,D107:D114,0), MATCH(D5,E106:G106,0))</f>
        <v>#N/A</v>
      </c>
      <c r="M78" s="136"/>
      <c r="N78" s="43" t="e">
        <f t="shared" ref="N78:N83" si="3">K78*$L$78</f>
        <v>#N/A</v>
      </c>
      <c r="O78" s="15"/>
    </row>
    <row r="79" spans="1:23" ht="24.65" hidden="1" customHeight="1" x14ac:dyDescent="0.35">
      <c r="A79" s="15"/>
      <c r="B79" s="15"/>
      <c r="C79" s="129"/>
      <c r="D79" s="129"/>
      <c r="E79" s="129"/>
      <c r="F79" s="129"/>
      <c r="G79" s="129"/>
      <c r="H79" s="13">
        <v>2018</v>
      </c>
      <c r="I79" s="37">
        <f>I36</f>
        <v>0</v>
      </c>
      <c r="J79" s="37"/>
      <c r="K79" s="37">
        <f t="shared" si="2"/>
        <v>0</v>
      </c>
      <c r="L79" s="137"/>
      <c r="M79" s="138"/>
      <c r="N79" s="43" t="e">
        <f t="shared" si="3"/>
        <v>#N/A</v>
      </c>
      <c r="O79" s="15"/>
    </row>
    <row r="80" spans="1:23" ht="24.65" hidden="1" customHeight="1" x14ac:dyDescent="0.35">
      <c r="A80" s="15"/>
      <c r="B80" s="15"/>
      <c r="C80" s="129"/>
      <c r="D80" s="129"/>
      <c r="E80" s="129"/>
      <c r="F80" s="129"/>
      <c r="G80" s="129"/>
      <c r="H80" s="13">
        <v>2019</v>
      </c>
      <c r="I80" s="37">
        <f>I43</f>
        <v>0</v>
      </c>
      <c r="J80" s="37"/>
      <c r="K80" s="37">
        <f t="shared" si="2"/>
        <v>0</v>
      </c>
      <c r="L80" s="137"/>
      <c r="M80" s="138"/>
      <c r="N80" s="43" t="e">
        <f t="shared" si="3"/>
        <v>#N/A</v>
      </c>
      <c r="O80" s="15"/>
    </row>
    <row r="81" spans="1:16" ht="24.65" hidden="1" customHeight="1" x14ac:dyDescent="0.35">
      <c r="A81" s="15"/>
      <c r="B81" s="15"/>
      <c r="C81" s="129"/>
      <c r="D81" s="129"/>
      <c r="E81" s="129"/>
      <c r="F81" s="129"/>
      <c r="G81" s="129"/>
      <c r="H81" s="13">
        <v>2020</v>
      </c>
      <c r="I81" s="37">
        <f>I50</f>
        <v>0</v>
      </c>
      <c r="J81" s="37"/>
      <c r="K81" s="37">
        <f t="shared" si="2"/>
        <v>0</v>
      </c>
      <c r="L81" s="137"/>
      <c r="M81" s="138"/>
      <c r="N81" s="43" t="e">
        <f t="shared" si="3"/>
        <v>#N/A</v>
      </c>
      <c r="O81" s="15"/>
    </row>
    <row r="82" spans="1:16" ht="24.65" hidden="1" customHeight="1" x14ac:dyDescent="0.35">
      <c r="A82" s="15"/>
      <c r="B82" s="15"/>
      <c r="C82" s="129"/>
      <c r="D82" s="129"/>
      <c r="E82" s="129"/>
      <c r="F82" s="129"/>
      <c r="G82" s="129"/>
      <c r="H82" s="13">
        <v>2021</v>
      </c>
      <c r="I82" s="37">
        <f>I57</f>
        <v>0</v>
      </c>
      <c r="J82" s="37"/>
      <c r="K82" s="37">
        <f t="shared" si="2"/>
        <v>0</v>
      </c>
      <c r="L82" s="137"/>
      <c r="M82" s="138"/>
      <c r="N82" s="43" t="e">
        <f t="shared" si="3"/>
        <v>#N/A</v>
      </c>
      <c r="O82" s="15"/>
    </row>
    <row r="83" spans="1:16" ht="24.65" hidden="1" customHeight="1" x14ac:dyDescent="0.35">
      <c r="A83" s="15"/>
      <c r="B83" s="15"/>
      <c r="C83" s="129"/>
      <c r="D83" s="129"/>
      <c r="E83" s="129"/>
      <c r="F83" s="129"/>
      <c r="G83" s="129"/>
      <c r="H83" s="13">
        <v>2022</v>
      </c>
      <c r="I83" s="37">
        <f>I64</f>
        <v>0</v>
      </c>
      <c r="J83" s="37"/>
      <c r="K83" s="37">
        <f>I83</f>
        <v>0</v>
      </c>
      <c r="L83" s="137"/>
      <c r="M83" s="138"/>
      <c r="N83" s="43" t="e">
        <f t="shared" si="3"/>
        <v>#N/A</v>
      </c>
      <c r="O83" s="15"/>
    </row>
    <row r="84" spans="1:16" ht="47.25" customHeight="1" x14ac:dyDescent="0.35">
      <c r="A84" s="15"/>
      <c r="B84" s="15"/>
      <c r="C84" s="129"/>
      <c r="D84" s="129"/>
      <c r="E84" s="129"/>
      <c r="F84" s="129"/>
      <c r="G84" s="129"/>
      <c r="H84" s="13">
        <v>2026</v>
      </c>
      <c r="I84" s="37">
        <f>I73</f>
        <v>0</v>
      </c>
      <c r="J84" s="146">
        <f>IF(I84&lt;200000,0,I84)</f>
        <v>0</v>
      </c>
      <c r="K84" s="147"/>
      <c r="L84" s="137"/>
      <c r="M84" s="138"/>
      <c r="N84" s="77" t="e">
        <f>J84*$L$78</f>
        <v>#N/A</v>
      </c>
      <c r="O84" s="15"/>
      <c r="P84" s="92" t="e">
        <f>L78*17.6668%</f>
        <v>#N/A</v>
      </c>
    </row>
    <row r="85" spans="1:16" ht="60" customHeight="1" x14ac:dyDescent="0.35">
      <c r="A85" s="15"/>
      <c r="B85" s="15"/>
      <c r="C85" s="129"/>
      <c r="D85" s="129"/>
      <c r="E85" s="129"/>
      <c r="F85" s="129"/>
      <c r="G85" s="129"/>
      <c r="H85" s="56" t="s">
        <v>25</v>
      </c>
      <c r="I85" s="57">
        <f>SUM(I76:I84)</f>
        <v>0</v>
      </c>
      <c r="J85" s="131">
        <f>J84</f>
        <v>0</v>
      </c>
      <c r="K85" s="132"/>
      <c r="L85" s="140" t="s">
        <v>44</v>
      </c>
      <c r="M85" s="141"/>
      <c r="N85" s="42" t="e">
        <f>SUM(N76:N84)</f>
        <v>#N/A</v>
      </c>
      <c r="O85" s="15"/>
      <c r="P85" s="82"/>
    </row>
    <row r="86" spans="1:16" ht="31.5" hidden="1" customHeight="1" x14ac:dyDescent="0.35">
      <c r="A86" s="15"/>
      <c r="B86" s="15"/>
      <c r="C86" s="72"/>
      <c r="D86" s="72"/>
      <c r="E86" s="72"/>
      <c r="F86" s="72"/>
      <c r="G86" s="72"/>
      <c r="H86" s="73"/>
      <c r="I86" s="74"/>
      <c r="J86" s="74"/>
      <c r="K86" s="74"/>
      <c r="L86" s="75"/>
      <c r="M86" s="75"/>
      <c r="N86" s="76"/>
      <c r="O86" s="15"/>
    </row>
    <row r="87" spans="1:16" ht="22.5" customHeight="1" x14ac:dyDescent="0.35">
      <c r="A87" s="15"/>
      <c r="B87" s="15"/>
      <c r="C87" s="17"/>
      <c r="D87" s="14"/>
      <c r="E87" s="14"/>
      <c r="F87" s="14"/>
      <c r="G87" s="14"/>
      <c r="H87" s="18"/>
      <c r="I87" s="14"/>
      <c r="J87" s="14"/>
      <c r="K87" s="31"/>
      <c r="L87" s="32"/>
      <c r="M87" s="32"/>
      <c r="N87" s="33"/>
      <c r="O87" s="15"/>
      <c r="P87" s="93" t="e">
        <f>J84*P84</f>
        <v>#N/A</v>
      </c>
    </row>
    <row r="88" spans="1:16" ht="22.5" customHeight="1" x14ac:dyDescent="0.35">
      <c r="A88" s="15"/>
      <c r="B88" s="15"/>
      <c r="C88" s="17"/>
      <c r="D88" s="14"/>
      <c r="E88" s="14"/>
      <c r="F88" s="14"/>
      <c r="G88" s="14"/>
      <c r="H88" s="18"/>
      <c r="I88" s="14"/>
      <c r="J88" s="14"/>
      <c r="K88" s="14"/>
      <c r="L88" s="14"/>
      <c r="M88" s="14"/>
      <c r="N88" s="19"/>
      <c r="O88" s="15"/>
    </row>
    <row r="89" spans="1:16" ht="22.5" customHeight="1" x14ac:dyDescent="0.35"/>
    <row r="90" spans="1:16" ht="22.5" customHeight="1" x14ac:dyDescent="0.35"/>
    <row r="91" spans="1:16" ht="22.5" customHeight="1" x14ac:dyDescent="0.35"/>
    <row r="92" spans="1:16" ht="22.5" customHeight="1" x14ac:dyDescent="0.35"/>
    <row r="93" spans="1:16" ht="22.5" customHeight="1" x14ac:dyDescent="0.35"/>
    <row r="94" spans="1:16" ht="22.5" customHeight="1" x14ac:dyDescent="0.35"/>
    <row r="95" spans="1:16" ht="22.5" customHeight="1" x14ac:dyDescent="0.35"/>
    <row r="96" spans="1:16" ht="22.5" customHeight="1" x14ac:dyDescent="0.35"/>
    <row r="97" spans="3:14" ht="22.5" customHeight="1" x14ac:dyDescent="0.35"/>
    <row r="98" spans="3:14" ht="18.75" customHeight="1" x14ac:dyDescent="0.35"/>
    <row r="99" spans="3:14" ht="22.5" customHeight="1" x14ac:dyDescent="0.35"/>
    <row r="100" spans="3:14" ht="22.5" customHeight="1" x14ac:dyDescent="0.35"/>
    <row r="101" spans="3:14" s="58" customFormat="1" ht="22.5" customHeight="1" x14ac:dyDescent="0.55000000000000004">
      <c r="C101" s="59"/>
      <c r="D101" s="60"/>
      <c r="E101" s="60"/>
      <c r="F101" s="60"/>
      <c r="G101" s="60"/>
      <c r="H101" s="61"/>
      <c r="I101" s="60"/>
      <c r="J101" s="60"/>
      <c r="K101" s="60"/>
      <c r="L101" s="60"/>
      <c r="M101" s="60"/>
      <c r="N101" s="62"/>
    </row>
    <row r="102" spans="3:14" s="58" customFormat="1" ht="22.5" customHeight="1" x14ac:dyDescent="0.55000000000000004">
      <c r="C102" s="59"/>
      <c r="D102" s="60"/>
      <c r="E102" s="60"/>
      <c r="F102" s="60"/>
      <c r="G102" s="60"/>
      <c r="H102" s="61"/>
      <c r="I102" s="60"/>
      <c r="J102" s="60"/>
      <c r="K102" s="60"/>
      <c r="L102" s="60"/>
      <c r="M102" s="60"/>
      <c r="N102" s="62"/>
    </row>
    <row r="103" spans="3:14" s="58" customFormat="1" ht="22.5" customHeight="1" x14ac:dyDescent="0.55000000000000004">
      <c r="C103" s="59"/>
      <c r="D103" s="60"/>
      <c r="E103" s="60"/>
      <c r="F103" s="60"/>
      <c r="G103" s="60"/>
      <c r="H103" s="61"/>
      <c r="I103" s="60"/>
      <c r="J103" s="60"/>
      <c r="K103" s="60"/>
      <c r="L103" s="60"/>
      <c r="M103" s="60"/>
      <c r="N103" s="62"/>
    </row>
    <row r="104" spans="3:14" s="58" customFormat="1" ht="22.5" customHeight="1" x14ac:dyDescent="0.55000000000000004">
      <c r="C104" s="59"/>
      <c r="D104" s="60"/>
      <c r="E104" s="60"/>
      <c r="F104" s="60"/>
      <c r="G104" s="60"/>
      <c r="H104" s="61"/>
      <c r="I104" s="60"/>
      <c r="J104" s="60"/>
      <c r="K104" s="60"/>
      <c r="L104" s="60"/>
      <c r="M104" s="60"/>
      <c r="N104" s="62"/>
    </row>
    <row r="105" spans="3:14" s="58" customFormat="1" ht="22.5" customHeight="1" x14ac:dyDescent="0.55000000000000004">
      <c r="C105" s="59"/>
      <c r="D105" s="139" t="s">
        <v>41</v>
      </c>
      <c r="E105" s="139"/>
      <c r="F105" s="139"/>
      <c r="G105" s="139"/>
      <c r="H105" s="63" t="s">
        <v>24</v>
      </c>
      <c r="I105" s="64"/>
      <c r="J105" s="64"/>
      <c r="K105" s="64"/>
      <c r="L105" s="60"/>
      <c r="M105" s="60"/>
      <c r="N105" s="62"/>
    </row>
    <row r="106" spans="3:14" s="58" customFormat="1" ht="22.5" customHeight="1" x14ac:dyDescent="0.55000000000000004">
      <c r="C106" s="59"/>
      <c r="D106" s="60"/>
      <c r="E106" s="65" t="s">
        <v>39</v>
      </c>
      <c r="F106" s="66" t="s">
        <v>38</v>
      </c>
      <c r="G106" s="65" t="s">
        <v>37</v>
      </c>
      <c r="H106" s="61"/>
      <c r="I106" s="65" t="s">
        <v>39</v>
      </c>
      <c r="J106" s="66" t="s">
        <v>38</v>
      </c>
      <c r="K106" s="65" t="s">
        <v>37</v>
      </c>
      <c r="L106" s="60"/>
      <c r="M106" s="60"/>
      <c r="N106" s="62"/>
    </row>
    <row r="107" spans="3:14" s="58" customFormat="1" ht="22.5" customHeight="1" x14ac:dyDescent="0.55000000000000004">
      <c r="C107" s="59"/>
      <c r="D107" s="67" t="s">
        <v>28</v>
      </c>
      <c r="E107" s="68">
        <v>0.15</v>
      </c>
      <c r="F107" s="68">
        <v>0.25</v>
      </c>
      <c r="G107" s="68">
        <v>0.35</v>
      </c>
      <c r="H107" s="67" t="s">
        <v>28</v>
      </c>
      <c r="I107" s="68">
        <v>0.1</v>
      </c>
      <c r="J107" s="68">
        <v>0.15</v>
      </c>
      <c r="K107" s="68">
        <v>0.2</v>
      </c>
      <c r="L107" s="60"/>
      <c r="M107" s="60"/>
      <c r="N107" s="62"/>
    </row>
    <row r="108" spans="3:14" s="58" customFormat="1" ht="22.5" customHeight="1" x14ac:dyDescent="0.55000000000000004">
      <c r="C108" s="59"/>
      <c r="D108" s="69" t="s">
        <v>32</v>
      </c>
      <c r="E108" s="68">
        <v>0.3</v>
      </c>
      <c r="F108" s="68">
        <v>0.4</v>
      </c>
      <c r="G108" s="68">
        <v>0.5</v>
      </c>
      <c r="H108" s="69" t="s">
        <v>32</v>
      </c>
      <c r="I108" s="68">
        <v>0.1</v>
      </c>
      <c r="J108" s="68">
        <v>0.15</v>
      </c>
      <c r="K108" s="68">
        <v>0.2</v>
      </c>
      <c r="L108" s="60"/>
      <c r="M108" s="60"/>
      <c r="N108" s="62"/>
    </row>
    <row r="109" spans="3:14" s="58" customFormat="1" ht="22.5" customHeight="1" x14ac:dyDescent="0.55000000000000004">
      <c r="C109" s="59"/>
      <c r="D109" s="70" t="s">
        <v>29</v>
      </c>
      <c r="E109" s="68">
        <v>0.3</v>
      </c>
      <c r="F109" s="68">
        <v>0.4</v>
      </c>
      <c r="G109" s="68">
        <v>0.5</v>
      </c>
      <c r="H109" s="70" t="s">
        <v>29</v>
      </c>
      <c r="I109" s="68">
        <v>0.1</v>
      </c>
      <c r="J109" s="68">
        <v>0.15</v>
      </c>
      <c r="K109" s="68">
        <v>0.2</v>
      </c>
      <c r="L109" s="60"/>
      <c r="M109" s="60"/>
      <c r="N109" s="62"/>
    </row>
    <row r="110" spans="3:14" s="58" customFormat="1" ht="22.5" customHeight="1" x14ac:dyDescent="0.55000000000000004">
      <c r="C110" s="59"/>
      <c r="D110" s="69" t="s">
        <v>30</v>
      </c>
      <c r="E110" s="68">
        <v>0.4</v>
      </c>
      <c r="F110" s="68">
        <v>0.5</v>
      </c>
      <c r="G110" s="68">
        <v>0.6</v>
      </c>
      <c r="H110" s="69" t="s">
        <v>30</v>
      </c>
      <c r="I110" s="68">
        <v>0.1</v>
      </c>
      <c r="J110" s="68">
        <v>0.15</v>
      </c>
      <c r="K110" s="68">
        <v>0.2</v>
      </c>
      <c r="L110" s="60"/>
      <c r="M110" s="60"/>
      <c r="N110" s="62"/>
    </row>
    <row r="111" spans="3:14" s="58" customFormat="1" ht="22.5" customHeight="1" x14ac:dyDescent="0.55000000000000004">
      <c r="C111" s="59"/>
      <c r="D111" s="70" t="s">
        <v>31</v>
      </c>
      <c r="E111" s="68">
        <v>0.4</v>
      </c>
      <c r="F111" s="68">
        <v>0.5</v>
      </c>
      <c r="G111" s="68">
        <v>0.6</v>
      </c>
      <c r="H111" s="70" t="s">
        <v>31</v>
      </c>
      <c r="I111" s="68">
        <v>0.1</v>
      </c>
      <c r="J111" s="68">
        <v>0.15</v>
      </c>
      <c r="K111" s="68">
        <v>0.2</v>
      </c>
      <c r="L111" s="60"/>
      <c r="M111" s="60"/>
      <c r="N111" s="62"/>
    </row>
    <row r="112" spans="3:14" s="58" customFormat="1" ht="22.5" customHeight="1" x14ac:dyDescent="0.55000000000000004">
      <c r="C112" s="59"/>
      <c r="D112" s="69" t="s">
        <v>33</v>
      </c>
      <c r="E112" s="68">
        <v>0.4</v>
      </c>
      <c r="F112" s="68">
        <v>0.5</v>
      </c>
      <c r="G112" s="68">
        <v>0.6</v>
      </c>
      <c r="H112" s="69" t="s">
        <v>33</v>
      </c>
      <c r="I112" s="68">
        <v>0.1</v>
      </c>
      <c r="J112" s="68">
        <v>0.15</v>
      </c>
      <c r="K112" s="68">
        <v>0.2</v>
      </c>
      <c r="L112" s="60"/>
      <c r="M112" s="60"/>
      <c r="N112" s="62"/>
    </row>
    <row r="113" spans="3:14" s="58" customFormat="1" ht="22.5" customHeight="1" x14ac:dyDescent="0.55000000000000004">
      <c r="C113" s="59"/>
      <c r="D113" s="70" t="s">
        <v>34</v>
      </c>
      <c r="E113" s="68">
        <v>0.3</v>
      </c>
      <c r="F113" s="68">
        <v>0.4</v>
      </c>
      <c r="G113" s="68">
        <v>0.5</v>
      </c>
      <c r="H113" s="70" t="s">
        <v>34</v>
      </c>
      <c r="I113" s="68">
        <v>0.1</v>
      </c>
      <c r="J113" s="68">
        <v>0.15</v>
      </c>
      <c r="K113" s="68">
        <v>0.2</v>
      </c>
      <c r="L113" s="60"/>
      <c r="M113" s="60"/>
      <c r="N113" s="62"/>
    </row>
    <row r="114" spans="3:14" s="58" customFormat="1" ht="22.5" customHeight="1" x14ac:dyDescent="0.55000000000000004">
      <c r="C114" s="59"/>
      <c r="D114" s="69" t="s">
        <v>35</v>
      </c>
      <c r="E114" s="68">
        <v>0.4</v>
      </c>
      <c r="F114" s="68">
        <v>0.5</v>
      </c>
      <c r="G114" s="68">
        <v>0.6</v>
      </c>
      <c r="H114" s="69" t="s">
        <v>35</v>
      </c>
      <c r="I114" s="68">
        <v>0.1</v>
      </c>
      <c r="J114" s="68">
        <v>0.15</v>
      </c>
      <c r="K114" s="68">
        <v>0.2</v>
      </c>
      <c r="L114" s="60"/>
      <c r="M114" s="60"/>
      <c r="N114" s="62"/>
    </row>
    <row r="115" spans="3:14" s="58" customFormat="1" ht="22.5" customHeight="1" x14ac:dyDescent="0.55000000000000004">
      <c r="C115" s="59"/>
      <c r="D115" s="61"/>
      <c r="E115" s="60"/>
      <c r="F115" s="60"/>
      <c r="G115" s="60"/>
      <c r="H115" s="61"/>
      <c r="I115" s="60"/>
      <c r="J115" s="60"/>
      <c r="K115" s="60"/>
      <c r="L115" s="60"/>
      <c r="M115" s="60"/>
      <c r="N115" s="62"/>
    </row>
    <row r="116" spans="3:14" s="58" customFormat="1" ht="22.5" customHeight="1" x14ac:dyDescent="0.55000000000000004">
      <c r="C116" s="59"/>
      <c r="D116" s="61"/>
      <c r="E116" s="60"/>
      <c r="F116" s="60"/>
      <c r="G116" s="60"/>
      <c r="H116" s="61"/>
      <c r="I116" s="60"/>
      <c r="J116" s="60"/>
      <c r="K116" s="60"/>
      <c r="L116" s="60"/>
      <c r="M116" s="60"/>
      <c r="N116" s="62"/>
    </row>
    <row r="117" spans="3:14" s="58" customFormat="1" ht="22.5" customHeight="1" x14ac:dyDescent="0.55000000000000004">
      <c r="C117" s="59"/>
      <c r="D117" s="61"/>
      <c r="E117" s="65" t="s">
        <v>39</v>
      </c>
      <c r="F117" s="66" t="s">
        <v>38</v>
      </c>
      <c r="G117" s="65" t="s">
        <v>37</v>
      </c>
      <c r="H117" s="61"/>
      <c r="I117" s="60"/>
      <c r="J117" s="60"/>
      <c r="K117" s="60"/>
      <c r="L117" s="60"/>
      <c r="M117" s="60"/>
      <c r="N117" s="62"/>
    </row>
    <row r="118" spans="3:14" ht="22.5" customHeight="1" x14ac:dyDescent="0.35">
      <c r="D118" s="67" t="s">
        <v>28</v>
      </c>
      <c r="E118" s="94">
        <f>15%*17.6668%</f>
        <v>2.6500199999999998E-2</v>
      </c>
      <c r="F118" s="94">
        <f>25%*17.6668%</f>
        <v>4.4166999999999998E-2</v>
      </c>
      <c r="G118" s="94">
        <f>35%*17.6668%</f>
        <v>6.1833799999999994E-2</v>
      </c>
    </row>
    <row r="119" spans="3:14" ht="22.5" customHeight="1" x14ac:dyDescent="0.35">
      <c r="D119" s="69" t="s">
        <v>32</v>
      </c>
      <c r="E119" s="94">
        <f>30%*17.6668%</f>
        <v>5.3000399999999996E-2</v>
      </c>
      <c r="F119" s="94">
        <f>40%*17.6668%</f>
        <v>7.0667199999999999E-2</v>
      </c>
      <c r="G119" s="94">
        <f>50%*17.6668%</f>
        <v>8.8333999999999996E-2</v>
      </c>
    </row>
    <row r="120" spans="3:14" ht="22.5" customHeight="1" x14ac:dyDescent="0.35">
      <c r="D120" s="70" t="s">
        <v>29</v>
      </c>
      <c r="E120" s="94">
        <f>30%*17.6668%</f>
        <v>5.3000399999999996E-2</v>
      </c>
      <c r="F120" s="94">
        <f>40%*17.6668%</f>
        <v>7.0667199999999999E-2</v>
      </c>
      <c r="G120" s="94">
        <f>50%*17.6668%</f>
        <v>8.8333999999999996E-2</v>
      </c>
    </row>
    <row r="121" spans="3:14" ht="22.5" customHeight="1" x14ac:dyDescent="0.35">
      <c r="D121" s="69" t="s">
        <v>30</v>
      </c>
      <c r="E121" s="94">
        <f>40%*17.6668%</f>
        <v>7.0667199999999999E-2</v>
      </c>
      <c r="F121" s="94">
        <f>50%*17.6668%</f>
        <v>8.8333999999999996E-2</v>
      </c>
      <c r="G121" s="94">
        <f>60%*17.6668%</f>
        <v>0.10600079999999999</v>
      </c>
    </row>
    <row r="122" spans="3:14" ht="22.5" customHeight="1" x14ac:dyDescent="0.35">
      <c r="D122" s="70" t="s">
        <v>31</v>
      </c>
      <c r="E122" s="94">
        <f>40%*17.6668%</f>
        <v>7.0667199999999999E-2</v>
      </c>
      <c r="F122" s="94">
        <f>50%*17.6668%</f>
        <v>8.8333999999999996E-2</v>
      </c>
      <c r="G122" s="94">
        <f>60%*17.6668%</f>
        <v>0.10600079999999999</v>
      </c>
    </row>
    <row r="123" spans="3:14" ht="22.5" customHeight="1" x14ac:dyDescent="0.35">
      <c r="D123" s="69" t="s">
        <v>33</v>
      </c>
      <c r="E123" s="94">
        <f>40%*17.6668%</f>
        <v>7.0667199999999999E-2</v>
      </c>
      <c r="F123" s="94">
        <f>50%*17.6668%</f>
        <v>8.8333999999999996E-2</v>
      </c>
      <c r="G123" s="94">
        <f>60%*17.6668%</f>
        <v>0.10600079999999999</v>
      </c>
    </row>
    <row r="124" spans="3:14" ht="22.5" customHeight="1" x14ac:dyDescent="0.35">
      <c r="D124" s="70" t="s">
        <v>34</v>
      </c>
      <c r="E124" s="94">
        <f>30%*17.6668%</f>
        <v>5.3000399999999996E-2</v>
      </c>
      <c r="F124" s="94">
        <f>40%*17.6668%</f>
        <v>7.0667199999999999E-2</v>
      </c>
      <c r="G124" s="94">
        <f>50%*17.6668%</f>
        <v>8.8333999999999996E-2</v>
      </c>
    </row>
    <row r="125" spans="3:14" ht="22.5" customHeight="1" x14ac:dyDescent="0.35">
      <c r="D125" s="69" t="s">
        <v>35</v>
      </c>
      <c r="E125" s="94">
        <f>40%*17.6668%</f>
        <v>7.0667199999999999E-2</v>
      </c>
      <c r="F125" s="94">
        <f>50%*17.6668%</f>
        <v>8.8333999999999996E-2</v>
      </c>
      <c r="G125" s="94">
        <f>60%*17.6668%</f>
        <v>0.10600079999999999</v>
      </c>
    </row>
    <row r="126" spans="3:14" ht="22.5" customHeight="1" x14ac:dyDescent="0.35">
      <c r="E126" s="95"/>
      <c r="F126" s="95"/>
      <c r="G126" s="95"/>
    </row>
    <row r="127" spans="3:14" ht="22.5" customHeight="1" x14ac:dyDescent="0.35"/>
    <row r="128" spans="3:14" ht="22.5" customHeight="1" x14ac:dyDescent="0.35"/>
    <row r="129" spans="4:4" ht="22.5" customHeight="1" x14ac:dyDescent="0.35"/>
    <row r="130" spans="4:4" ht="22.5" customHeight="1" x14ac:dyDescent="0.35"/>
    <row r="131" spans="4:4" ht="22.5" customHeight="1" x14ac:dyDescent="0.35"/>
    <row r="132" spans="4:4" ht="22.5" customHeight="1" x14ac:dyDescent="0.35"/>
    <row r="133" spans="4:4" ht="22.5" customHeight="1" x14ac:dyDescent="0.35"/>
    <row r="134" spans="4:4" ht="22.5" customHeight="1" x14ac:dyDescent="0.35"/>
    <row r="135" spans="4:4" ht="22.5" customHeight="1" x14ac:dyDescent="0.35"/>
    <row r="138" spans="4:4" ht="21" x14ac:dyDescent="0.5">
      <c r="D138" s="71"/>
    </row>
  </sheetData>
  <sheetProtection formatCells="0" formatColumns="0" formatRows="0" insertRows="0"/>
  <sortState xmlns:xlrd2="http://schemas.microsoft.com/office/spreadsheetml/2017/richdata2" ref="C43:M49">
    <sortCondition ref="H43:H49"/>
  </sortState>
  <mergeCells count="37">
    <mergeCell ref="J85:K85"/>
    <mergeCell ref="L75:M75"/>
    <mergeCell ref="L78:M84"/>
    <mergeCell ref="D105:G105"/>
    <mergeCell ref="L85:M85"/>
    <mergeCell ref="L76:L77"/>
    <mergeCell ref="J75:K75"/>
    <mergeCell ref="J84:K84"/>
    <mergeCell ref="C30:C35"/>
    <mergeCell ref="C37:C42"/>
    <mergeCell ref="C44:C49"/>
    <mergeCell ref="C51:C56"/>
    <mergeCell ref="C75:G85"/>
    <mergeCell ref="C58:C63"/>
    <mergeCell ref="C65:C71"/>
    <mergeCell ref="E73:G73"/>
    <mergeCell ref="B23:B28"/>
    <mergeCell ref="B16:B21"/>
    <mergeCell ref="D6:D7"/>
    <mergeCell ref="C6:C7"/>
    <mergeCell ref="I6:I7"/>
    <mergeCell ref="C8:C14"/>
    <mergeCell ref="C16:C21"/>
    <mergeCell ref="C23:C28"/>
    <mergeCell ref="C15:G15"/>
    <mergeCell ref="K6:K7"/>
    <mergeCell ref="L6:L7"/>
    <mergeCell ref="N6:N7"/>
    <mergeCell ref="E4:F4"/>
    <mergeCell ref="E5:F5"/>
    <mergeCell ref="G2:N5"/>
    <mergeCell ref="J6:J7"/>
    <mergeCell ref="E6:F6"/>
    <mergeCell ref="G6:H6"/>
    <mergeCell ref="E3:F3"/>
    <mergeCell ref="E2:F2"/>
    <mergeCell ref="M6:M7"/>
  </mergeCells>
  <phoneticPr fontId="15" type="noConversion"/>
  <dataValidations count="2">
    <dataValidation type="list" allowBlank="1" showInputMessage="1" showErrorMessage="1" sqref="E5:F5" xr:uid="{00000000-0002-0000-0000-000000000000}">
      <formula1>$D$107:$D$114</formula1>
    </dataValidation>
    <dataValidation type="list" allowBlank="1" showInputMessage="1" showErrorMessage="1" sqref="D5" xr:uid="{00000000-0002-0000-0000-000001000000}">
      <formula1>$E$106:$G$106</formula1>
    </dataValidation>
  </dataValidations>
  <pageMargins left="0.25" right="0.25" top="0.75" bottom="0.75" header="0.3" footer="0.3"/>
  <pageSetup paperSize="9" fitToHeight="0" orientation="landscape" horizontalDpi="300" verticalDpi="300" r:id="rId1"/>
  <headerFooter>
    <oddFooter>&amp;CPagina &amp;P di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Checklist CIM</vt:lpstr>
      <vt:lpstr>'Checklist CIM'!Area_stampa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2026-04-10T08:10:38Z</dcterms:modified>
</cp:coreProperties>
</file>